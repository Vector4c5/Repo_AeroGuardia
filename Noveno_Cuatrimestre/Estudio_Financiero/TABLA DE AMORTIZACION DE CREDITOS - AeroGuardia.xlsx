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a de amor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0" fontId="4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AeroGuardia — Tabla de amortización del crédito</t>
        </is>
      </c>
    </row>
    <row r="2">
      <c r="A2" t="inlineStr">
        <is>
          <t>Entidad financiera: Crédito empresarial PYME (financiamiento a 5 años)</t>
        </is>
      </c>
    </row>
    <row r="4">
      <c r="A4" s="2" t="inlineStr">
        <is>
          <t>Datos del préstamo</t>
        </is>
      </c>
    </row>
    <row r="5">
      <c r="A5" s="3" t="inlineStr">
        <is>
          <t>Importe del préstamo (MXN)</t>
        </is>
      </c>
      <c r="B5" s="4" t="n">
        <v>500000</v>
      </c>
    </row>
    <row r="6">
      <c r="A6" s="3" t="inlineStr">
        <is>
          <t>Interés anual nominal</t>
        </is>
      </c>
      <c r="B6" s="5" t="n">
        <v>0.115</v>
      </c>
    </row>
    <row r="7">
      <c r="A7" s="3" t="inlineStr">
        <is>
          <t>Plazo (años)</t>
        </is>
      </c>
      <c r="B7" t="n">
        <v>5</v>
      </c>
    </row>
    <row r="8">
      <c r="A8" s="3" t="inlineStr">
        <is>
          <t>Pagos por año</t>
        </is>
      </c>
      <c r="B8" t="n">
        <v>12</v>
      </c>
    </row>
    <row r="10">
      <c r="A10" s="2" t="inlineStr">
        <is>
          <t>Número total de pagos</t>
        </is>
      </c>
      <c r="B10">
        <f>B7*B8</f>
        <v/>
      </c>
    </row>
    <row r="11">
      <c r="A11" s="2" t="inlineStr">
        <is>
          <t>Tasa mensual</t>
        </is>
      </c>
      <c r="B11" s="6">
        <f>B6/B8</f>
        <v/>
      </c>
    </row>
    <row r="12">
      <c r="A12" s="2" t="inlineStr">
        <is>
          <t>Pago mensual (PMT)</t>
        </is>
      </c>
      <c r="B12" s="4">
        <f>-PMT(B11,B10,B5)</f>
        <v/>
      </c>
    </row>
    <row r="13">
      <c r="A13" s="2" t="inlineStr">
        <is>
          <t>Interés total del crédito</t>
        </is>
      </c>
      <c r="B13" s="4">
        <f>B12*B10-B5</f>
        <v/>
      </c>
    </row>
    <row r="16">
      <c r="A16" s="7" t="inlineStr">
        <is>
          <t>Pago Nº</t>
        </is>
      </c>
      <c r="B16" s="7" t="inlineStr">
        <is>
          <t>Saldo inicial</t>
        </is>
      </c>
      <c r="C16" s="7" t="inlineStr">
        <is>
          <t>Pago mensual</t>
        </is>
      </c>
      <c r="D16" s="7" t="inlineStr">
        <is>
          <t>Capital</t>
        </is>
      </c>
      <c r="E16" s="7" t="inlineStr">
        <is>
          <t>Intereses</t>
        </is>
      </c>
      <c r="F16" s="7" t="inlineStr">
        <is>
          <t>Saldo final</t>
        </is>
      </c>
    </row>
    <row r="17">
      <c r="A17" t="n">
        <v>1</v>
      </c>
      <c r="B17" s="4">
        <f>$B$5</f>
        <v/>
      </c>
      <c r="C17" s="4">
        <f>$B$12</f>
        <v/>
      </c>
      <c r="D17" s="4">
        <f>C17-E17</f>
        <v/>
      </c>
      <c r="E17" s="4">
        <f>B17*$B$11</f>
        <v/>
      </c>
      <c r="F17" s="4">
        <f>B17-D17</f>
        <v/>
      </c>
    </row>
    <row r="18">
      <c r="A18" t="n">
        <v>2</v>
      </c>
      <c r="B18" s="4">
        <f>F17</f>
        <v/>
      </c>
      <c r="C18" s="4">
        <f>$B$12</f>
        <v/>
      </c>
      <c r="D18" s="4">
        <f>C18-E18</f>
        <v/>
      </c>
      <c r="E18" s="4">
        <f>B18*$B$11</f>
        <v/>
      </c>
      <c r="F18" s="4">
        <f>B18-D18</f>
        <v/>
      </c>
    </row>
    <row r="19">
      <c r="A19" t="n">
        <v>3</v>
      </c>
      <c r="B19" s="4">
        <f>F18</f>
        <v/>
      </c>
      <c r="C19" s="4">
        <f>$B$12</f>
        <v/>
      </c>
      <c r="D19" s="4">
        <f>C19-E19</f>
        <v/>
      </c>
      <c r="E19" s="4">
        <f>B19*$B$11</f>
        <v/>
      </c>
      <c r="F19" s="4">
        <f>B19-D19</f>
        <v/>
      </c>
    </row>
    <row r="20">
      <c r="A20" t="n">
        <v>4</v>
      </c>
      <c r="B20" s="4">
        <f>F19</f>
        <v/>
      </c>
      <c r="C20" s="4">
        <f>$B$12</f>
        <v/>
      </c>
      <c r="D20" s="4">
        <f>C20-E20</f>
        <v/>
      </c>
      <c r="E20" s="4">
        <f>B20*$B$11</f>
        <v/>
      </c>
      <c r="F20" s="4">
        <f>B20-D20</f>
        <v/>
      </c>
    </row>
    <row r="21">
      <c r="A21" t="n">
        <v>5</v>
      </c>
      <c r="B21" s="4">
        <f>F20</f>
        <v/>
      </c>
      <c r="C21" s="4">
        <f>$B$12</f>
        <v/>
      </c>
      <c r="D21" s="4">
        <f>C21-E21</f>
        <v/>
      </c>
      <c r="E21" s="4">
        <f>B21*$B$11</f>
        <v/>
      </c>
      <c r="F21" s="4">
        <f>B21-D21</f>
        <v/>
      </c>
    </row>
    <row r="22">
      <c r="A22" t="n">
        <v>6</v>
      </c>
      <c r="B22" s="4">
        <f>F21</f>
        <v/>
      </c>
      <c r="C22" s="4">
        <f>$B$12</f>
        <v/>
      </c>
      <c r="D22" s="4">
        <f>C22-E22</f>
        <v/>
      </c>
      <c r="E22" s="4">
        <f>B22*$B$11</f>
        <v/>
      </c>
      <c r="F22" s="4">
        <f>B22-D22</f>
        <v/>
      </c>
    </row>
    <row r="23">
      <c r="A23" t="n">
        <v>7</v>
      </c>
      <c r="B23" s="4">
        <f>F22</f>
        <v/>
      </c>
      <c r="C23" s="4">
        <f>$B$12</f>
        <v/>
      </c>
      <c r="D23" s="4">
        <f>C23-E23</f>
        <v/>
      </c>
      <c r="E23" s="4">
        <f>B23*$B$11</f>
        <v/>
      </c>
      <c r="F23" s="4">
        <f>B23-D23</f>
        <v/>
      </c>
    </row>
    <row r="24">
      <c r="A24" t="n">
        <v>8</v>
      </c>
      <c r="B24" s="4">
        <f>F23</f>
        <v/>
      </c>
      <c r="C24" s="4">
        <f>$B$12</f>
        <v/>
      </c>
      <c r="D24" s="4">
        <f>C24-E24</f>
        <v/>
      </c>
      <c r="E24" s="4">
        <f>B24*$B$11</f>
        <v/>
      </c>
      <c r="F24" s="4">
        <f>B24-D24</f>
        <v/>
      </c>
    </row>
    <row r="25">
      <c r="A25" t="n">
        <v>9</v>
      </c>
      <c r="B25" s="4">
        <f>F24</f>
        <v/>
      </c>
      <c r="C25" s="4">
        <f>$B$12</f>
        <v/>
      </c>
      <c r="D25" s="4">
        <f>C25-E25</f>
        <v/>
      </c>
      <c r="E25" s="4">
        <f>B25*$B$11</f>
        <v/>
      </c>
      <c r="F25" s="4">
        <f>B25-D25</f>
        <v/>
      </c>
    </row>
    <row r="26">
      <c r="A26" t="n">
        <v>10</v>
      </c>
      <c r="B26" s="4">
        <f>F25</f>
        <v/>
      </c>
      <c r="C26" s="4">
        <f>$B$12</f>
        <v/>
      </c>
      <c r="D26" s="4">
        <f>C26-E26</f>
        <v/>
      </c>
      <c r="E26" s="4">
        <f>B26*$B$11</f>
        <v/>
      </c>
      <c r="F26" s="4">
        <f>B26-D26</f>
        <v/>
      </c>
    </row>
    <row r="27">
      <c r="A27" t="n">
        <v>11</v>
      </c>
      <c r="B27" s="4">
        <f>F26</f>
        <v/>
      </c>
      <c r="C27" s="4">
        <f>$B$12</f>
        <v/>
      </c>
      <c r="D27" s="4">
        <f>C27-E27</f>
        <v/>
      </c>
      <c r="E27" s="4">
        <f>B27*$B$11</f>
        <v/>
      </c>
      <c r="F27" s="4">
        <f>B27-D27</f>
        <v/>
      </c>
    </row>
    <row r="28">
      <c r="A28" t="n">
        <v>12</v>
      </c>
      <c r="B28" s="4">
        <f>F27</f>
        <v/>
      </c>
      <c r="C28" s="4">
        <f>$B$12</f>
        <v/>
      </c>
      <c r="D28" s="4">
        <f>C28-E28</f>
        <v/>
      </c>
      <c r="E28" s="4">
        <f>B28*$B$11</f>
        <v/>
      </c>
      <c r="F28" s="4">
        <f>B28-D28</f>
        <v/>
      </c>
    </row>
    <row r="29">
      <c r="A29" t="n">
        <v>13</v>
      </c>
      <c r="B29" s="4">
        <f>F28</f>
        <v/>
      </c>
      <c r="C29" s="4">
        <f>$B$12</f>
        <v/>
      </c>
      <c r="D29" s="4">
        <f>C29-E29</f>
        <v/>
      </c>
      <c r="E29" s="4">
        <f>B29*$B$11</f>
        <v/>
      </c>
      <c r="F29" s="4">
        <f>B29-D29</f>
        <v/>
      </c>
    </row>
    <row r="30">
      <c r="A30" t="n">
        <v>14</v>
      </c>
      <c r="B30" s="4">
        <f>F29</f>
        <v/>
      </c>
      <c r="C30" s="4">
        <f>$B$12</f>
        <v/>
      </c>
      <c r="D30" s="4">
        <f>C30-E30</f>
        <v/>
      </c>
      <c r="E30" s="4">
        <f>B30*$B$11</f>
        <v/>
      </c>
      <c r="F30" s="4">
        <f>B30-D30</f>
        <v/>
      </c>
    </row>
    <row r="31">
      <c r="A31" t="n">
        <v>15</v>
      </c>
      <c r="B31" s="4">
        <f>F30</f>
        <v/>
      </c>
      <c r="C31" s="4">
        <f>$B$12</f>
        <v/>
      </c>
      <c r="D31" s="4">
        <f>C31-E31</f>
        <v/>
      </c>
      <c r="E31" s="4">
        <f>B31*$B$11</f>
        <v/>
      </c>
      <c r="F31" s="4">
        <f>B31-D31</f>
        <v/>
      </c>
    </row>
    <row r="32">
      <c r="A32" t="n">
        <v>16</v>
      </c>
      <c r="B32" s="4">
        <f>F31</f>
        <v/>
      </c>
      <c r="C32" s="4">
        <f>$B$12</f>
        <v/>
      </c>
      <c r="D32" s="4">
        <f>C32-E32</f>
        <v/>
      </c>
      <c r="E32" s="4">
        <f>B32*$B$11</f>
        <v/>
      </c>
      <c r="F32" s="4">
        <f>B32-D32</f>
        <v/>
      </c>
    </row>
    <row r="33">
      <c r="A33" t="n">
        <v>17</v>
      </c>
      <c r="B33" s="4">
        <f>F32</f>
        <v/>
      </c>
      <c r="C33" s="4">
        <f>$B$12</f>
        <v/>
      </c>
      <c r="D33" s="4">
        <f>C33-E33</f>
        <v/>
      </c>
      <c r="E33" s="4">
        <f>B33*$B$11</f>
        <v/>
      </c>
      <c r="F33" s="4">
        <f>B33-D33</f>
        <v/>
      </c>
    </row>
    <row r="34">
      <c r="A34" t="n">
        <v>18</v>
      </c>
      <c r="B34" s="4">
        <f>F33</f>
        <v/>
      </c>
      <c r="C34" s="4">
        <f>$B$12</f>
        <v/>
      </c>
      <c r="D34" s="4">
        <f>C34-E34</f>
        <v/>
      </c>
      <c r="E34" s="4">
        <f>B34*$B$11</f>
        <v/>
      </c>
      <c r="F34" s="4">
        <f>B34-D34</f>
        <v/>
      </c>
    </row>
    <row r="35">
      <c r="A35" t="n">
        <v>19</v>
      </c>
      <c r="B35" s="4">
        <f>F34</f>
        <v/>
      </c>
      <c r="C35" s="4">
        <f>$B$12</f>
        <v/>
      </c>
      <c r="D35" s="4">
        <f>C35-E35</f>
        <v/>
      </c>
      <c r="E35" s="4">
        <f>B35*$B$11</f>
        <v/>
      </c>
      <c r="F35" s="4">
        <f>B35-D35</f>
        <v/>
      </c>
    </row>
    <row r="36">
      <c r="A36" t="n">
        <v>20</v>
      </c>
      <c r="B36" s="4">
        <f>F35</f>
        <v/>
      </c>
      <c r="C36" s="4">
        <f>$B$12</f>
        <v/>
      </c>
      <c r="D36" s="4">
        <f>C36-E36</f>
        <v/>
      </c>
      <c r="E36" s="4">
        <f>B36*$B$11</f>
        <v/>
      </c>
      <c r="F36" s="4">
        <f>B36-D36</f>
        <v/>
      </c>
    </row>
    <row r="37">
      <c r="A37" t="n">
        <v>21</v>
      </c>
      <c r="B37" s="4">
        <f>F36</f>
        <v/>
      </c>
      <c r="C37" s="4">
        <f>$B$12</f>
        <v/>
      </c>
      <c r="D37" s="4">
        <f>C37-E37</f>
        <v/>
      </c>
      <c r="E37" s="4">
        <f>B37*$B$11</f>
        <v/>
      </c>
      <c r="F37" s="4">
        <f>B37-D37</f>
        <v/>
      </c>
    </row>
    <row r="38">
      <c r="A38" t="n">
        <v>22</v>
      </c>
      <c r="B38" s="4">
        <f>F37</f>
        <v/>
      </c>
      <c r="C38" s="4">
        <f>$B$12</f>
        <v/>
      </c>
      <c r="D38" s="4">
        <f>C38-E38</f>
        <v/>
      </c>
      <c r="E38" s="4">
        <f>B38*$B$11</f>
        <v/>
      </c>
      <c r="F38" s="4">
        <f>B38-D38</f>
        <v/>
      </c>
    </row>
    <row r="39">
      <c r="A39" t="n">
        <v>23</v>
      </c>
      <c r="B39" s="4">
        <f>F38</f>
        <v/>
      </c>
      <c r="C39" s="4">
        <f>$B$12</f>
        <v/>
      </c>
      <c r="D39" s="4">
        <f>C39-E39</f>
        <v/>
      </c>
      <c r="E39" s="4">
        <f>B39*$B$11</f>
        <v/>
      </c>
      <c r="F39" s="4">
        <f>B39-D39</f>
        <v/>
      </c>
    </row>
    <row r="40">
      <c r="A40" t="n">
        <v>24</v>
      </c>
      <c r="B40" s="4">
        <f>F39</f>
        <v/>
      </c>
      <c r="C40" s="4">
        <f>$B$12</f>
        <v/>
      </c>
      <c r="D40" s="4">
        <f>C40-E40</f>
        <v/>
      </c>
      <c r="E40" s="4">
        <f>B40*$B$11</f>
        <v/>
      </c>
      <c r="F40" s="4">
        <f>B40-D40</f>
        <v/>
      </c>
    </row>
    <row r="41">
      <c r="A41" t="n">
        <v>25</v>
      </c>
      <c r="B41" s="4">
        <f>F40</f>
        <v/>
      </c>
      <c r="C41" s="4">
        <f>$B$12</f>
        <v/>
      </c>
      <c r="D41" s="4">
        <f>C41-E41</f>
        <v/>
      </c>
      <c r="E41" s="4">
        <f>B41*$B$11</f>
        <v/>
      </c>
      <c r="F41" s="4">
        <f>B41-D41</f>
        <v/>
      </c>
    </row>
    <row r="42">
      <c r="A42" t="n">
        <v>26</v>
      </c>
      <c r="B42" s="4">
        <f>F41</f>
        <v/>
      </c>
      <c r="C42" s="4">
        <f>$B$12</f>
        <v/>
      </c>
      <c r="D42" s="4">
        <f>C42-E42</f>
        <v/>
      </c>
      <c r="E42" s="4">
        <f>B42*$B$11</f>
        <v/>
      </c>
      <c r="F42" s="4">
        <f>B42-D42</f>
        <v/>
      </c>
    </row>
    <row r="43">
      <c r="A43" t="n">
        <v>27</v>
      </c>
      <c r="B43" s="4">
        <f>F42</f>
        <v/>
      </c>
      <c r="C43" s="4">
        <f>$B$12</f>
        <v/>
      </c>
      <c r="D43" s="4">
        <f>C43-E43</f>
        <v/>
      </c>
      <c r="E43" s="4">
        <f>B43*$B$11</f>
        <v/>
      </c>
      <c r="F43" s="4">
        <f>B43-D43</f>
        <v/>
      </c>
    </row>
    <row r="44">
      <c r="A44" t="n">
        <v>28</v>
      </c>
      <c r="B44" s="4">
        <f>F43</f>
        <v/>
      </c>
      <c r="C44" s="4">
        <f>$B$12</f>
        <v/>
      </c>
      <c r="D44" s="4">
        <f>C44-E44</f>
        <v/>
      </c>
      <c r="E44" s="4">
        <f>B44*$B$11</f>
        <v/>
      </c>
      <c r="F44" s="4">
        <f>B44-D44</f>
        <v/>
      </c>
    </row>
    <row r="45">
      <c r="A45" t="n">
        <v>29</v>
      </c>
      <c r="B45" s="4">
        <f>F44</f>
        <v/>
      </c>
      <c r="C45" s="4">
        <f>$B$12</f>
        <v/>
      </c>
      <c r="D45" s="4">
        <f>C45-E45</f>
        <v/>
      </c>
      <c r="E45" s="4">
        <f>B45*$B$11</f>
        <v/>
      </c>
      <c r="F45" s="4">
        <f>B45-D45</f>
        <v/>
      </c>
    </row>
    <row r="46">
      <c r="A46" t="n">
        <v>30</v>
      </c>
      <c r="B46" s="4">
        <f>F45</f>
        <v/>
      </c>
      <c r="C46" s="4">
        <f>$B$12</f>
        <v/>
      </c>
      <c r="D46" s="4">
        <f>C46-E46</f>
        <v/>
      </c>
      <c r="E46" s="4">
        <f>B46*$B$11</f>
        <v/>
      </c>
      <c r="F46" s="4">
        <f>B46-D46</f>
        <v/>
      </c>
    </row>
    <row r="47">
      <c r="A47" t="n">
        <v>31</v>
      </c>
      <c r="B47" s="4">
        <f>F46</f>
        <v/>
      </c>
      <c r="C47" s="4">
        <f>$B$12</f>
        <v/>
      </c>
      <c r="D47" s="4">
        <f>C47-E47</f>
        <v/>
      </c>
      <c r="E47" s="4">
        <f>B47*$B$11</f>
        <v/>
      </c>
      <c r="F47" s="4">
        <f>B47-D47</f>
        <v/>
      </c>
    </row>
    <row r="48">
      <c r="A48" t="n">
        <v>32</v>
      </c>
      <c r="B48" s="4">
        <f>F47</f>
        <v/>
      </c>
      <c r="C48" s="4">
        <f>$B$12</f>
        <v/>
      </c>
      <c r="D48" s="4">
        <f>C48-E48</f>
        <v/>
      </c>
      <c r="E48" s="4">
        <f>B48*$B$11</f>
        <v/>
      </c>
      <c r="F48" s="4">
        <f>B48-D48</f>
        <v/>
      </c>
    </row>
    <row r="49">
      <c r="A49" t="n">
        <v>33</v>
      </c>
      <c r="B49" s="4">
        <f>F48</f>
        <v/>
      </c>
      <c r="C49" s="4">
        <f>$B$12</f>
        <v/>
      </c>
      <c r="D49" s="4">
        <f>C49-E49</f>
        <v/>
      </c>
      <c r="E49" s="4">
        <f>B49*$B$11</f>
        <v/>
      </c>
      <c r="F49" s="4">
        <f>B49-D49</f>
        <v/>
      </c>
    </row>
    <row r="50">
      <c r="A50" t="n">
        <v>34</v>
      </c>
      <c r="B50" s="4">
        <f>F49</f>
        <v/>
      </c>
      <c r="C50" s="4">
        <f>$B$12</f>
        <v/>
      </c>
      <c r="D50" s="4">
        <f>C50-E50</f>
        <v/>
      </c>
      <c r="E50" s="4">
        <f>B50*$B$11</f>
        <v/>
      </c>
      <c r="F50" s="4">
        <f>B50-D50</f>
        <v/>
      </c>
    </row>
    <row r="51">
      <c r="A51" t="n">
        <v>35</v>
      </c>
      <c r="B51" s="4">
        <f>F50</f>
        <v/>
      </c>
      <c r="C51" s="4">
        <f>$B$12</f>
        <v/>
      </c>
      <c r="D51" s="4">
        <f>C51-E51</f>
        <v/>
      </c>
      <c r="E51" s="4">
        <f>B51*$B$11</f>
        <v/>
      </c>
      <c r="F51" s="4">
        <f>B51-D51</f>
        <v/>
      </c>
    </row>
    <row r="52">
      <c r="A52" t="n">
        <v>36</v>
      </c>
      <c r="B52" s="4">
        <f>F51</f>
        <v/>
      </c>
      <c r="C52" s="4">
        <f>$B$12</f>
        <v/>
      </c>
      <c r="D52" s="4">
        <f>C52-E52</f>
        <v/>
      </c>
      <c r="E52" s="4">
        <f>B52*$B$11</f>
        <v/>
      </c>
      <c r="F52" s="4">
        <f>B52-D52</f>
        <v/>
      </c>
    </row>
    <row r="53">
      <c r="A53" t="n">
        <v>37</v>
      </c>
      <c r="B53" s="4">
        <f>F52</f>
        <v/>
      </c>
      <c r="C53" s="4">
        <f>$B$12</f>
        <v/>
      </c>
      <c r="D53" s="4">
        <f>C53-E53</f>
        <v/>
      </c>
      <c r="E53" s="4">
        <f>B53*$B$11</f>
        <v/>
      </c>
      <c r="F53" s="4">
        <f>B53-D53</f>
        <v/>
      </c>
    </row>
    <row r="54">
      <c r="A54" t="n">
        <v>38</v>
      </c>
      <c r="B54" s="4">
        <f>F53</f>
        <v/>
      </c>
      <c r="C54" s="4">
        <f>$B$12</f>
        <v/>
      </c>
      <c r="D54" s="4">
        <f>C54-E54</f>
        <v/>
      </c>
      <c r="E54" s="4">
        <f>B54*$B$11</f>
        <v/>
      </c>
      <c r="F54" s="4">
        <f>B54-D54</f>
        <v/>
      </c>
    </row>
    <row r="55">
      <c r="A55" t="n">
        <v>39</v>
      </c>
      <c r="B55" s="4">
        <f>F54</f>
        <v/>
      </c>
      <c r="C55" s="4">
        <f>$B$12</f>
        <v/>
      </c>
      <c r="D55" s="4">
        <f>C55-E55</f>
        <v/>
      </c>
      <c r="E55" s="4">
        <f>B55*$B$11</f>
        <v/>
      </c>
      <c r="F55" s="4">
        <f>B55-D55</f>
        <v/>
      </c>
    </row>
    <row r="56">
      <c r="A56" t="n">
        <v>40</v>
      </c>
      <c r="B56" s="4">
        <f>F55</f>
        <v/>
      </c>
      <c r="C56" s="4">
        <f>$B$12</f>
        <v/>
      </c>
      <c r="D56" s="4">
        <f>C56-E56</f>
        <v/>
      </c>
      <c r="E56" s="4">
        <f>B56*$B$11</f>
        <v/>
      </c>
      <c r="F56" s="4">
        <f>B56-D56</f>
        <v/>
      </c>
    </row>
    <row r="57">
      <c r="A57" t="n">
        <v>41</v>
      </c>
      <c r="B57" s="4">
        <f>F56</f>
        <v/>
      </c>
      <c r="C57" s="4">
        <f>$B$12</f>
        <v/>
      </c>
      <c r="D57" s="4">
        <f>C57-E57</f>
        <v/>
      </c>
      <c r="E57" s="4">
        <f>B57*$B$11</f>
        <v/>
      </c>
      <c r="F57" s="4">
        <f>B57-D57</f>
        <v/>
      </c>
    </row>
    <row r="58">
      <c r="A58" t="n">
        <v>42</v>
      </c>
      <c r="B58" s="4">
        <f>F57</f>
        <v/>
      </c>
      <c r="C58" s="4">
        <f>$B$12</f>
        <v/>
      </c>
      <c r="D58" s="4">
        <f>C58-E58</f>
        <v/>
      </c>
      <c r="E58" s="4">
        <f>B58*$B$11</f>
        <v/>
      </c>
      <c r="F58" s="4">
        <f>B58-D58</f>
        <v/>
      </c>
    </row>
    <row r="59">
      <c r="A59" t="n">
        <v>43</v>
      </c>
      <c r="B59" s="4">
        <f>F58</f>
        <v/>
      </c>
      <c r="C59" s="4">
        <f>$B$12</f>
        <v/>
      </c>
      <c r="D59" s="4">
        <f>C59-E59</f>
        <v/>
      </c>
      <c r="E59" s="4">
        <f>B59*$B$11</f>
        <v/>
      </c>
      <c r="F59" s="4">
        <f>B59-D59</f>
        <v/>
      </c>
    </row>
    <row r="60">
      <c r="A60" t="n">
        <v>44</v>
      </c>
      <c r="B60" s="4">
        <f>F59</f>
        <v/>
      </c>
      <c r="C60" s="4">
        <f>$B$12</f>
        <v/>
      </c>
      <c r="D60" s="4">
        <f>C60-E60</f>
        <v/>
      </c>
      <c r="E60" s="4">
        <f>B60*$B$11</f>
        <v/>
      </c>
      <c r="F60" s="4">
        <f>B60-D60</f>
        <v/>
      </c>
    </row>
    <row r="61">
      <c r="A61" t="n">
        <v>45</v>
      </c>
      <c r="B61" s="4">
        <f>F60</f>
        <v/>
      </c>
      <c r="C61" s="4">
        <f>$B$12</f>
        <v/>
      </c>
      <c r="D61" s="4">
        <f>C61-E61</f>
        <v/>
      </c>
      <c r="E61" s="4">
        <f>B61*$B$11</f>
        <v/>
      </c>
      <c r="F61" s="4">
        <f>B61-D61</f>
        <v/>
      </c>
    </row>
    <row r="62">
      <c r="A62" t="n">
        <v>46</v>
      </c>
      <c r="B62" s="4">
        <f>F61</f>
        <v/>
      </c>
      <c r="C62" s="4">
        <f>$B$12</f>
        <v/>
      </c>
      <c r="D62" s="4">
        <f>C62-E62</f>
        <v/>
      </c>
      <c r="E62" s="4">
        <f>B62*$B$11</f>
        <v/>
      </c>
      <c r="F62" s="4">
        <f>B62-D62</f>
        <v/>
      </c>
    </row>
    <row r="63">
      <c r="A63" t="n">
        <v>47</v>
      </c>
      <c r="B63" s="4">
        <f>F62</f>
        <v/>
      </c>
      <c r="C63" s="4">
        <f>$B$12</f>
        <v/>
      </c>
      <c r="D63" s="4">
        <f>C63-E63</f>
        <v/>
      </c>
      <c r="E63" s="4">
        <f>B63*$B$11</f>
        <v/>
      </c>
      <c r="F63" s="4">
        <f>B63-D63</f>
        <v/>
      </c>
    </row>
    <row r="64">
      <c r="A64" t="n">
        <v>48</v>
      </c>
      <c r="B64" s="4">
        <f>F63</f>
        <v/>
      </c>
      <c r="C64" s="4">
        <f>$B$12</f>
        <v/>
      </c>
      <c r="D64" s="4">
        <f>C64-E64</f>
        <v/>
      </c>
      <c r="E64" s="4">
        <f>B64*$B$11</f>
        <v/>
      </c>
      <c r="F64" s="4">
        <f>B64-D64</f>
        <v/>
      </c>
    </row>
    <row r="65">
      <c r="A65" t="n">
        <v>49</v>
      </c>
      <c r="B65" s="4">
        <f>F64</f>
        <v/>
      </c>
      <c r="C65" s="4">
        <f>$B$12</f>
        <v/>
      </c>
      <c r="D65" s="4">
        <f>C65-E65</f>
        <v/>
      </c>
      <c r="E65" s="4">
        <f>B65*$B$11</f>
        <v/>
      </c>
      <c r="F65" s="4">
        <f>B65-D65</f>
        <v/>
      </c>
    </row>
    <row r="66">
      <c r="A66" t="n">
        <v>50</v>
      </c>
      <c r="B66" s="4">
        <f>F65</f>
        <v/>
      </c>
      <c r="C66" s="4">
        <f>$B$12</f>
        <v/>
      </c>
      <c r="D66" s="4">
        <f>C66-E66</f>
        <v/>
      </c>
      <c r="E66" s="4">
        <f>B66*$B$11</f>
        <v/>
      </c>
      <c r="F66" s="4">
        <f>B66-D66</f>
        <v/>
      </c>
    </row>
    <row r="67">
      <c r="A67" t="n">
        <v>51</v>
      </c>
      <c r="B67" s="4">
        <f>F66</f>
        <v/>
      </c>
      <c r="C67" s="4">
        <f>$B$12</f>
        <v/>
      </c>
      <c r="D67" s="4">
        <f>C67-E67</f>
        <v/>
      </c>
      <c r="E67" s="4">
        <f>B67*$B$11</f>
        <v/>
      </c>
      <c r="F67" s="4">
        <f>B67-D67</f>
        <v/>
      </c>
    </row>
    <row r="68">
      <c r="A68" t="n">
        <v>52</v>
      </c>
      <c r="B68" s="4">
        <f>F67</f>
        <v/>
      </c>
      <c r="C68" s="4">
        <f>$B$12</f>
        <v/>
      </c>
      <c r="D68" s="4">
        <f>C68-E68</f>
        <v/>
      </c>
      <c r="E68" s="4">
        <f>B68*$B$11</f>
        <v/>
      </c>
      <c r="F68" s="4">
        <f>B68-D68</f>
        <v/>
      </c>
    </row>
    <row r="69">
      <c r="A69" t="n">
        <v>53</v>
      </c>
      <c r="B69" s="4">
        <f>F68</f>
        <v/>
      </c>
      <c r="C69" s="4">
        <f>$B$12</f>
        <v/>
      </c>
      <c r="D69" s="4">
        <f>C69-E69</f>
        <v/>
      </c>
      <c r="E69" s="4">
        <f>B69*$B$11</f>
        <v/>
      </c>
      <c r="F69" s="4">
        <f>B69-D69</f>
        <v/>
      </c>
    </row>
    <row r="70">
      <c r="A70" t="n">
        <v>54</v>
      </c>
      <c r="B70" s="4">
        <f>F69</f>
        <v/>
      </c>
      <c r="C70" s="4">
        <f>$B$12</f>
        <v/>
      </c>
      <c r="D70" s="4">
        <f>C70-E70</f>
        <v/>
      </c>
      <c r="E70" s="4">
        <f>B70*$B$11</f>
        <v/>
      </c>
      <c r="F70" s="4">
        <f>B70-D70</f>
        <v/>
      </c>
    </row>
    <row r="71">
      <c r="A71" t="n">
        <v>55</v>
      </c>
      <c r="B71" s="4">
        <f>F70</f>
        <v/>
      </c>
      <c r="C71" s="4">
        <f>$B$12</f>
        <v/>
      </c>
      <c r="D71" s="4">
        <f>C71-E71</f>
        <v/>
      </c>
      <c r="E71" s="4">
        <f>B71*$B$11</f>
        <v/>
      </c>
      <c r="F71" s="4">
        <f>B71-D71</f>
        <v/>
      </c>
    </row>
    <row r="72">
      <c r="A72" t="n">
        <v>56</v>
      </c>
      <c r="B72" s="4">
        <f>F71</f>
        <v/>
      </c>
      <c r="C72" s="4">
        <f>$B$12</f>
        <v/>
      </c>
      <c r="D72" s="4">
        <f>C72-E72</f>
        <v/>
      </c>
      <c r="E72" s="4">
        <f>B72*$B$11</f>
        <v/>
      </c>
      <c r="F72" s="4">
        <f>B72-D72</f>
        <v/>
      </c>
    </row>
    <row r="73">
      <c r="A73" t="n">
        <v>57</v>
      </c>
      <c r="B73" s="4">
        <f>F72</f>
        <v/>
      </c>
      <c r="C73" s="4">
        <f>$B$12</f>
        <v/>
      </c>
      <c r="D73" s="4">
        <f>C73-E73</f>
        <v/>
      </c>
      <c r="E73" s="4">
        <f>B73*$B$11</f>
        <v/>
      </c>
      <c r="F73" s="4">
        <f>B73-D73</f>
        <v/>
      </c>
    </row>
    <row r="74">
      <c r="A74" t="n">
        <v>58</v>
      </c>
      <c r="B74" s="4">
        <f>F73</f>
        <v/>
      </c>
      <c r="C74" s="4">
        <f>$B$12</f>
        <v/>
      </c>
      <c r="D74" s="4">
        <f>C74-E74</f>
        <v/>
      </c>
      <c r="E74" s="4">
        <f>B74*$B$11</f>
        <v/>
      </c>
      <c r="F74" s="4">
        <f>B74-D74</f>
        <v/>
      </c>
    </row>
    <row r="75">
      <c r="A75" t="n">
        <v>59</v>
      </c>
      <c r="B75" s="4">
        <f>F74</f>
        <v/>
      </c>
      <c r="C75" s="4">
        <f>$B$12</f>
        <v/>
      </c>
      <c r="D75" s="4">
        <f>C75-E75</f>
        <v/>
      </c>
      <c r="E75" s="4">
        <f>B75*$B$11</f>
        <v/>
      </c>
      <c r="F75" s="4">
        <f>B75-D75</f>
        <v/>
      </c>
    </row>
    <row r="76">
      <c r="A76" t="n">
        <v>60</v>
      </c>
      <c r="B76" s="4">
        <f>F75</f>
        <v/>
      </c>
      <c r="C76" s="4">
        <f>$B$12</f>
        <v/>
      </c>
      <c r="D76" s="4">
        <f>C76-E76</f>
        <v/>
      </c>
      <c r="E76" s="4">
        <f>B76*$B$11</f>
        <v/>
      </c>
      <c r="F76" s="4">
        <f>B76-D76</f>
        <v/>
      </c>
    </row>
    <row r="78">
      <c r="A78" s="2" t="inlineStr">
        <is>
          <t>Totales</t>
        </is>
      </c>
      <c r="C78" s="4">
        <f>SUM(C17:C76)</f>
        <v/>
      </c>
      <c r="D78" s="4">
        <f>SUM(D17:D76)</f>
        <v/>
      </c>
      <c r="E78" s="4">
        <f>SUM(E17:E76)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2026-08-08T04:24:44Z</dcterms:created>
  <dcterms:modified xmlns:dcterms="http://purl.org/dc/terms/" xmlns:xsi="http://www.w3.org/2001/XMLSchema-instance" xsi:type="dcterms:W3CDTF">2026-08-08T04:24:44Z</dcterms:modified>
</cp:coreProperties>
</file>