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na\Desktop\Repositorios_Vector\Repo_AeroGuardia\Noveno_Cuatrimestre\Estudio_Financiero\"/>
    </mc:Choice>
  </mc:AlternateContent>
  <xr:revisionPtr revIDLastSave="0" documentId="13_ncr:1_{056FF892-6FD0-4CC8-BA5D-25E89F5E3A9A}" xr6:coauthVersionLast="47" xr6:coauthVersionMax="47" xr10:uidLastSave="{00000000-0000-0000-0000-000000000000}"/>
  <bookViews>
    <workbookView xWindow="-120" yWindow="-120" windowWidth="29040" windowHeight="15720" tabRatio="830" activeTab="2" xr2:uid="{00000000-000D-0000-FFFF-FFFF00000000}"/>
  </bookViews>
  <sheets>
    <sheet name="Inversión inicial" sheetId="1" r:id="rId1"/>
    <sheet name=" Proyeccion de ventas en unidad" sheetId="2" r:id="rId2"/>
    <sheet name="Presupuesto de operación" sheetId="3" r:id="rId3"/>
    <sheet name="Costos y precio de venta" sheetId="4" r:id="rId4"/>
    <sheet name="Ventas presupuestadas en $" sheetId="5" r:id="rId5"/>
    <sheet name="Estado de Resultados" sheetId="6" r:id="rId6"/>
    <sheet name="Flujo de efectivo" sheetId="7" r:id="rId7"/>
    <sheet name="VAN y TIR" sheetId="8" r:id="rId8"/>
    <sheet name="Amortizació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4" i="9" l="1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9" i="9"/>
  <c r="B8" i="9"/>
  <c r="E18" i="8"/>
  <c r="H18" i="8" s="1"/>
  <c r="E17" i="8"/>
  <c r="H17" i="8" s="1"/>
  <c r="H16" i="8"/>
  <c r="E16" i="8"/>
  <c r="H15" i="8"/>
  <c r="E15" i="8"/>
  <c r="B25" i="7"/>
  <c r="B28" i="7" s="1"/>
  <c r="J23" i="7"/>
  <c r="I23" i="7"/>
  <c r="H23" i="7"/>
  <c r="G23" i="7"/>
  <c r="F23" i="7"/>
  <c r="E23" i="7"/>
  <c r="D23" i="7"/>
  <c r="C23" i="7"/>
  <c r="B18" i="7"/>
  <c r="B17" i="7"/>
  <c r="H14" i="7"/>
  <c r="D14" i="7"/>
  <c r="B11" i="7"/>
  <c r="H3" i="7"/>
  <c r="H8" i="7" s="1"/>
  <c r="H11" i="7" s="1"/>
  <c r="D3" i="7"/>
  <c r="D8" i="7" s="1"/>
  <c r="D11" i="7" s="1"/>
  <c r="S11" i="6"/>
  <c r="P11" i="6"/>
  <c r="E14" i="7" s="1"/>
  <c r="O11" i="6"/>
  <c r="K11" i="6"/>
  <c r="G11" i="6"/>
  <c r="D11" i="6"/>
  <c r="C11" i="6"/>
  <c r="U10" i="6"/>
  <c r="T10" i="6"/>
  <c r="T11" i="6" s="1"/>
  <c r="I14" i="7" s="1"/>
  <c r="S10" i="6"/>
  <c r="R10" i="6"/>
  <c r="Q10" i="6"/>
  <c r="P10" i="6"/>
  <c r="O10" i="6"/>
  <c r="M10" i="6"/>
  <c r="L10" i="6"/>
  <c r="K10" i="6"/>
  <c r="J10" i="6"/>
  <c r="I10" i="6"/>
  <c r="H10" i="6"/>
  <c r="H11" i="6" s="1"/>
  <c r="G10" i="6"/>
  <c r="F10" i="6"/>
  <c r="E10" i="6"/>
  <c r="D10" i="6"/>
  <c r="C10" i="6"/>
  <c r="B10" i="6"/>
  <c r="U9" i="6"/>
  <c r="U11" i="6" s="1"/>
  <c r="J14" i="7" s="1"/>
  <c r="T9" i="6"/>
  <c r="S9" i="6"/>
  <c r="R9" i="6"/>
  <c r="R11" i="6" s="1"/>
  <c r="G14" i="7" s="1"/>
  <c r="Q9" i="6"/>
  <c r="Q11" i="6" s="1"/>
  <c r="F14" i="7" s="1"/>
  <c r="P9" i="6"/>
  <c r="O9" i="6"/>
  <c r="M9" i="6"/>
  <c r="L9" i="6"/>
  <c r="L11" i="6" s="1"/>
  <c r="K9" i="6"/>
  <c r="J9" i="6"/>
  <c r="J11" i="6" s="1"/>
  <c r="I9" i="6"/>
  <c r="I11" i="6" s="1"/>
  <c r="H9" i="6"/>
  <c r="G9" i="6"/>
  <c r="F9" i="6"/>
  <c r="F11" i="6" s="1"/>
  <c r="E9" i="6"/>
  <c r="E11" i="6" s="1"/>
  <c r="D9" i="6"/>
  <c r="C9" i="6"/>
  <c r="B9" i="6"/>
  <c r="B11" i="6" s="1"/>
  <c r="U6" i="6"/>
  <c r="J3" i="7" s="1"/>
  <c r="J8" i="7" s="1"/>
  <c r="J11" i="7" s="1"/>
  <c r="T6" i="6"/>
  <c r="S6" i="6"/>
  <c r="R6" i="6"/>
  <c r="G3" i="7" s="1"/>
  <c r="G8" i="7" s="1"/>
  <c r="G11" i="7" s="1"/>
  <c r="Q6" i="6"/>
  <c r="P6" i="6"/>
  <c r="O6" i="6"/>
  <c r="C15" i="5"/>
  <c r="N14" i="5"/>
  <c r="M14" i="5"/>
  <c r="L14" i="5"/>
  <c r="K14" i="5"/>
  <c r="J14" i="5"/>
  <c r="I14" i="5"/>
  <c r="H14" i="5"/>
  <c r="G14" i="5"/>
  <c r="F14" i="5"/>
  <c r="E14" i="5"/>
  <c r="D14" i="5"/>
  <c r="C14" i="5"/>
  <c r="C12" i="5"/>
  <c r="C13" i="5" s="1"/>
  <c r="N8" i="5"/>
  <c r="M8" i="5"/>
  <c r="L8" i="5"/>
  <c r="K8" i="5"/>
  <c r="J8" i="5"/>
  <c r="I8" i="5"/>
  <c r="H8" i="5"/>
  <c r="G8" i="5"/>
  <c r="F8" i="5"/>
  <c r="E8" i="5"/>
  <c r="D8" i="5"/>
  <c r="C8" i="5"/>
  <c r="L7" i="5"/>
  <c r="G7" i="5"/>
  <c r="F7" i="5"/>
  <c r="C7" i="5"/>
  <c r="C10" i="5" s="1"/>
  <c r="N6" i="5"/>
  <c r="M6" i="5"/>
  <c r="L6" i="5"/>
  <c r="K6" i="5"/>
  <c r="K7" i="5" s="1"/>
  <c r="J6" i="5"/>
  <c r="I6" i="5"/>
  <c r="H6" i="5"/>
  <c r="G6" i="5"/>
  <c r="F6" i="5"/>
  <c r="E6" i="5"/>
  <c r="D6" i="5"/>
  <c r="D7" i="5" s="1"/>
  <c r="C6" i="5"/>
  <c r="N4" i="5"/>
  <c r="M4" i="5"/>
  <c r="L4" i="5"/>
  <c r="K4" i="5"/>
  <c r="J4" i="5"/>
  <c r="I4" i="5"/>
  <c r="H4" i="5"/>
  <c r="H7" i="5" s="1"/>
  <c r="G4" i="5"/>
  <c r="F4" i="5"/>
  <c r="E4" i="5"/>
  <c r="E7" i="5" s="1"/>
  <c r="D4" i="5"/>
  <c r="C4" i="5"/>
  <c r="C5" i="5" s="1"/>
  <c r="C9" i="5" s="1"/>
  <c r="B75" i="4"/>
  <c r="B52" i="4"/>
  <c r="B45" i="4"/>
  <c r="B36" i="4"/>
  <c r="B38" i="4" s="1"/>
  <c r="B41" i="4" s="1"/>
  <c r="B22" i="4"/>
  <c r="B39" i="3"/>
  <c r="B38" i="3"/>
  <c r="B37" i="3"/>
  <c r="B36" i="3"/>
  <c r="B35" i="3"/>
  <c r="B34" i="3"/>
  <c r="B40" i="3" s="1"/>
  <c r="B33" i="3"/>
  <c r="B27" i="3"/>
  <c r="B28" i="3" s="1"/>
  <c r="B26" i="3"/>
  <c r="C21" i="3"/>
  <c r="B21" i="3"/>
  <c r="B12" i="3"/>
  <c r="B53" i="4" s="1"/>
  <c r="B6" i="3"/>
  <c r="B17" i="3" s="1"/>
  <c r="B18" i="3" s="1"/>
  <c r="B18" i="2"/>
  <c r="D32" i="1"/>
  <c r="B4" i="9" s="1"/>
  <c r="C26" i="1"/>
  <c r="D31" i="1" s="1"/>
  <c r="C16" i="5" l="1"/>
  <c r="T8" i="6"/>
  <c r="T12" i="6" s="1"/>
  <c r="Q7" i="6"/>
  <c r="F13" i="7" s="1"/>
  <c r="F12" i="5"/>
  <c r="F13" i="5" s="1"/>
  <c r="O7" i="6"/>
  <c r="D13" i="7" s="1"/>
  <c r="N12" i="5"/>
  <c r="M12" i="5"/>
  <c r="M13" i="5" s="1"/>
  <c r="K12" i="5"/>
  <c r="K13" i="5" s="1"/>
  <c r="T7" i="6"/>
  <c r="I13" i="7" s="1"/>
  <c r="I12" i="5"/>
  <c r="U7" i="6"/>
  <c r="J13" i="7" s="1"/>
  <c r="J12" i="5"/>
  <c r="J13" i="5" s="1"/>
  <c r="S7" i="6"/>
  <c r="H12" i="5"/>
  <c r="R7" i="6"/>
  <c r="G12" i="5"/>
  <c r="G13" i="5" s="1"/>
  <c r="D12" i="5"/>
  <c r="D13" i="5" s="1"/>
  <c r="O6" i="5"/>
  <c r="B51" i="4"/>
  <c r="E12" i="5"/>
  <c r="E13" i="5" s="1"/>
  <c r="I3" i="7"/>
  <c r="I8" i="7" s="1"/>
  <c r="I11" i="7" s="1"/>
  <c r="H13" i="5"/>
  <c r="B61" i="4"/>
  <c r="B68" i="4" s="1"/>
  <c r="L12" i="5"/>
  <c r="L13" i="5" s="1"/>
  <c r="P7" i="6"/>
  <c r="E13" i="7" s="1"/>
  <c r="B10" i="9"/>
  <c r="N13" i="5"/>
  <c r="N7" i="5"/>
  <c r="N10" i="6"/>
  <c r="V10" i="6" s="1"/>
  <c r="K21" i="9"/>
  <c r="J21" i="9"/>
  <c r="K22" i="9"/>
  <c r="J22" i="9"/>
  <c r="K23" i="9"/>
  <c r="J23" i="9"/>
  <c r="D5" i="5"/>
  <c r="B6" i="6"/>
  <c r="I7" i="5"/>
  <c r="I13" i="5"/>
  <c r="B21" i="7"/>
  <c r="B23" i="7" s="1"/>
  <c r="B29" i="7" s="1"/>
  <c r="C6" i="7" s="1"/>
  <c r="C15" i="9"/>
  <c r="J7" i="5"/>
  <c r="P8" i="6"/>
  <c r="P12" i="6" s="1"/>
  <c r="M11" i="6"/>
  <c r="B3" i="8"/>
  <c r="B21" i="8" s="1"/>
  <c r="O4" i="5"/>
  <c r="M7" i="5"/>
  <c r="B19" i="6"/>
  <c r="N9" i="6"/>
  <c r="E3" i="7"/>
  <c r="E8" i="7" s="1"/>
  <c r="E11" i="7" s="1"/>
  <c r="F3" i="7"/>
  <c r="F8" i="7" s="1"/>
  <c r="F11" i="7" s="1"/>
  <c r="B30" i="7"/>
  <c r="R8" i="6" l="1"/>
  <c r="R12" i="6" s="1"/>
  <c r="G13" i="7"/>
  <c r="U13" i="6"/>
  <c r="J26" i="7"/>
  <c r="J28" i="7" s="1"/>
  <c r="H13" i="7"/>
  <c r="S8" i="6"/>
  <c r="S12" i="6" s="1"/>
  <c r="D9" i="5"/>
  <c r="E5" i="5"/>
  <c r="D15" i="5"/>
  <c r="D16" i="5"/>
  <c r="C7" i="6" s="1"/>
  <c r="O8" i="6"/>
  <c r="O12" i="6" s="1"/>
  <c r="D73" i="9"/>
  <c r="D71" i="9"/>
  <c r="D69" i="9"/>
  <c r="D67" i="9"/>
  <c r="D65" i="9"/>
  <c r="D63" i="9"/>
  <c r="D61" i="9"/>
  <c r="D59" i="9"/>
  <c r="D57" i="9"/>
  <c r="D55" i="9"/>
  <c r="D53" i="9"/>
  <c r="D51" i="9"/>
  <c r="D49" i="9"/>
  <c r="D47" i="9"/>
  <c r="D45" i="9"/>
  <c r="D43" i="9"/>
  <c r="D41" i="9"/>
  <c r="D39" i="9"/>
  <c r="D37" i="9"/>
  <c r="D35" i="9"/>
  <c r="D33" i="9"/>
  <c r="D31" i="9"/>
  <c r="D29" i="9"/>
  <c r="D27" i="9"/>
  <c r="D25" i="9"/>
  <c r="D23" i="9"/>
  <c r="D20" i="9"/>
  <c r="D17" i="9"/>
  <c r="D15" i="9"/>
  <c r="D74" i="9"/>
  <c r="D72" i="9"/>
  <c r="D70" i="9"/>
  <c r="D68" i="9"/>
  <c r="D66" i="9"/>
  <c r="D64" i="9"/>
  <c r="D62" i="9"/>
  <c r="D60" i="9"/>
  <c r="D58" i="9"/>
  <c r="D56" i="9"/>
  <c r="D54" i="9"/>
  <c r="D52" i="9"/>
  <c r="D50" i="9"/>
  <c r="D48" i="9"/>
  <c r="D46" i="9"/>
  <c r="D44" i="9"/>
  <c r="D42" i="9"/>
  <c r="D40" i="9"/>
  <c r="D38" i="9"/>
  <c r="D36" i="9"/>
  <c r="D34" i="9"/>
  <c r="D32" i="9"/>
  <c r="D30" i="9"/>
  <c r="D28" i="9"/>
  <c r="D26" i="9"/>
  <c r="D24" i="9"/>
  <c r="B11" i="9"/>
  <c r="B45" i="3"/>
  <c r="D22" i="9"/>
  <c r="D19" i="9"/>
  <c r="D16" i="9"/>
  <c r="D21" i="9"/>
  <c r="D18" i="9"/>
  <c r="B7" i="6"/>
  <c r="B8" i="6" s="1"/>
  <c r="B12" i="6" s="1"/>
  <c r="T13" i="6"/>
  <c r="T14" i="6" s="1"/>
  <c r="I26" i="7"/>
  <c r="I28" i="7" s="1"/>
  <c r="O13" i="5"/>
  <c r="L7" i="8"/>
  <c r="M7" i="8" s="1"/>
  <c r="H6" i="8"/>
  <c r="E6" i="8"/>
  <c r="H26" i="7"/>
  <c r="H28" i="7" s="1"/>
  <c r="S13" i="6"/>
  <c r="N11" i="6"/>
  <c r="C14" i="7" s="1"/>
  <c r="V9" i="6"/>
  <c r="V11" i="6" s="1"/>
  <c r="F15" i="9"/>
  <c r="Q8" i="6"/>
  <c r="Q12" i="6" s="1"/>
  <c r="U8" i="6"/>
  <c r="U12" i="6" s="1"/>
  <c r="O7" i="5"/>
  <c r="T15" i="6" l="1"/>
  <c r="I15" i="7" s="1"/>
  <c r="I17" i="7" s="1"/>
  <c r="I18" i="7" s="1"/>
  <c r="I29" i="7" s="1"/>
  <c r="D75" i="9"/>
  <c r="E15" i="9"/>
  <c r="D10" i="5"/>
  <c r="U14" i="6"/>
  <c r="S14" i="6"/>
  <c r="E15" i="5"/>
  <c r="E16" i="5" s="1"/>
  <c r="F5" i="5"/>
  <c r="E9" i="5"/>
  <c r="E10" i="5" s="1"/>
  <c r="D6" i="6" s="1"/>
  <c r="B13" i="6"/>
  <c r="F15" i="5" l="1"/>
  <c r="F16" i="5" s="1"/>
  <c r="E7" i="6" s="1"/>
  <c r="G5" i="5"/>
  <c r="F9" i="5"/>
  <c r="F10" i="5" s="1"/>
  <c r="E6" i="6" s="1"/>
  <c r="C6" i="6"/>
  <c r="G15" i="9"/>
  <c r="C16" i="9" s="1"/>
  <c r="D7" i="6"/>
  <c r="D8" i="6" s="1"/>
  <c r="D12" i="6" s="1"/>
  <c r="U15" i="6"/>
  <c r="J15" i="7" s="1"/>
  <c r="J17" i="7" s="1"/>
  <c r="J18" i="7" s="1"/>
  <c r="J29" i="7" s="1"/>
  <c r="B14" i="8" s="1"/>
  <c r="U16" i="6"/>
  <c r="S15" i="6"/>
  <c r="H15" i="7" s="1"/>
  <c r="H17" i="7" s="1"/>
  <c r="H18" i="7" s="1"/>
  <c r="H29" i="7" s="1"/>
  <c r="B14" i="6"/>
  <c r="B13" i="8"/>
  <c r="J6" i="7"/>
  <c r="T16" i="6"/>
  <c r="F16" i="9" l="1"/>
  <c r="L14" i="8"/>
  <c r="E13" i="8"/>
  <c r="H13" i="8" s="1"/>
  <c r="B15" i="6"/>
  <c r="B16" i="6"/>
  <c r="C8" i="6"/>
  <c r="C12" i="6" s="1"/>
  <c r="B12" i="8"/>
  <c r="I6" i="7"/>
  <c r="E8" i="6"/>
  <c r="E12" i="6" s="1"/>
  <c r="S16" i="6"/>
  <c r="G15" i="5"/>
  <c r="G16" i="5" s="1"/>
  <c r="H5" i="5"/>
  <c r="G9" i="5"/>
  <c r="G10" i="5" s="1"/>
  <c r="L15" i="8"/>
  <c r="E14" i="8"/>
  <c r="H14" i="8" s="1"/>
  <c r="F7" i="6" l="1"/>
  <c r="C13" i="6"/>
  <c r="E16" i="9"/>
  <c r="C14" i="6"/>
  <c r="F6" i="6"/>
  <c r="E12" i="8"/>
  <c r="H12" i="8" s="1"/>
  <c r="L13" i="8"/>
  <c r="H9" i="5"/>
  <c r="H10" i="5" s="1"/>
  <c r="G6" i="6" s="1"/>
  <c r="G8" i="6" s="1"/>
  <c r="G12" i="6" s="1"/>
  <c r="H15" i="5"/>
  <c r="H16" i="5" s="1"/>
  <c r="G7" i="6" s="1"/>
  <c r="I5" i="5"/>
  <c r="F8" i="6" l="1"/>
  <c r="F12" i="6" s="1"/>
  <c r="G16" i="9"/>
  <c r="C17" i="9" s="1"/>
  <c r="J5" i="5"/>
  <c r="I15" i="5"/>
  <c r="I16" i="5" s="1"/>
  <c r="H7" i="6" s="1"/>
  <c r="I9" i="5"/>
  <c r="I10" i="5" s="1"/>
  <c r="C15" i="6"/>
  <c r="C16" i="6" l="1"/>
  <c r="H6" i="6"/>
  <c r="J15" i="5"/>
  <c r="J16" i="5" s="1"/>
  <c r="J9" i="5"/>
  <c r="J10" i="5" s="1"/>
  <c r="I6" i="6" s="1"/>
  <c r="K5" i="5"/>
  <c r="F17" i="9"/>
  <c r="K9" i="5" l="1"/>
  <c r="K10" i="5" s="1"/>
  <c r="L5" i="5"/>
  <c r="K15" i="5"/>
  <c r="K16" i="5" s="1"/>
  <c r="J7" i="6" s="1"/>
  <c r="H8" i="6"/>
  <c r="H12" i="6" s="1"/>
  <c r="D13" i="6"/>
  <c r="E17" i="9"/>
  <c r="I7" i="6"/>
  <c r="I8" i="6" s="1"/>
  <c r="I12" i="6" s="1"/>
  <c r="D14" i="6" l="1"/>
  <c r="G17" i="9"/>
  <c r="C18" i="9" s="1"/>
  <c r="L15" i="5"/>
  <c r="L16" i="5" s="1"/>
  <c r="K7" i="6" s="1"/>
  <c r="L9" i="5"/>
  <c r="L10" i="5" s="1"/>
  <c r="K6" i="6" s="1"/>
  <c r="M5" i="5"/>
  <c r="J6" i="6"/>
  <c r="M15" i="5" l="1"/>
  <c r="M16" i="5" s="1"/>
  <c r="L7" i="6" s="1"/>
  <c r="M9" i="5"/>
  <c r="M10" i="5" s="1"/>
  <c r="L6" i="6" s="1"/>
  <c r="L8" i="6" s="1"/>
  <c r="L12" i="6" s="1"/>
  <c r="N5" i="5"/>
  <c r="F18" i="9"/>
  <c r="J8" i="6"/>
  <c r="J12" i="6" s="1"/>
  <c r="K8" i="6"/>
  <c r="K12" i="6" s="1"/>
  <c r="D15" i="6"/>
  <c r="E13" i="6" l="1"/>
  <c r="E14" i="6" s="1"/>
  <c r="E18" i="9"/>
  <c r="N15" i="5"/>
  <c r="N9" i="5"/>
  <c r="D16" i="6"/>
  <c r="N16" i="5" l="1"/>
  <c r="O15" i="5"/>
  <c r="N10" i="5"/>
  <c r="O9" i="5"/>
  <c r="G18" i="9"/>
  <c r="C19" i="9" s="1"/>
  <c r="E15" i="6"/>
  <c r="E16" i="6" s="1"/>
  <c r="F19" i="9" l="1"/>
  <c r="M6" i="6"/>
  <c r="O10" i="5"/>
  <c r="M7" i="6"/>
  <c r="N7" i="6" s="1"/>
  <c r="O16" i="5"/>
  <c r="M8" i="6" l="1"/>
  <c r="M12" i="6" s="1"/>
  <c r="N6" i="6"/>
  <c r="V7" i="6"/>
  <c r="C13" i="7"/>
  <c r="F13" i="6"/>
  <c r="F14" i="6" s="1"/>
  <c r="E19" i="9"/>
  <c r="F15" i="6" l="1"/>
  <c r="F16" i="6" s="1"/>
  <c r="G19" i="9"/>
  <c r="C20" i="9" s="1"/>
  <c r="V6" i="6"/>
  <c r="V8" i="6" s="1"/>
  <c r="V12" i="6" s="1"/>
  <c r="C3" i="7"/>
  <c r="C8" i="7" s="1"/>
  <c r="C11" i="7" s="1"/>
  <c r="N8" i="6"/>
  <c r="N12" i="6" s="1"/>
  <c r="F20" i="9" l="1"/>
  <c r="G13" i="6" l="1"/>
  <c r="G14" i="6" s="1"/>
  <c r="E20" i="9"/>
  <c r="G20" i="9" s="1"/>
  <c r="C21" i="9" s="1"/>
  <c r="F21" i="9" l="1"/>
  <c r="G15" i="6"/>
  <c r="G16" i="6" s="1"/>
  <c r="H13" i="6" l="1"/>
  <c r="H14" i="6" s="1"/>
  <c r="E21" i="9"/>
  <c r="G21" i="9" s="1"/>
  <c r="C22" i="9" s="1"/>
  <c r="F22" i="9" l="1"/>
  <c r="H15" i="6"/>
  <c r="H16" i="6" s="1"/>
  <c r="I13" i="6" l="1"/>
  <c r="I14" i="6" s="1"/>
  <c r="E22" i="9"/>
  <c r="G22" i="9" s="1"/>
  <c r="C23" i="9" s="1"/>
  <c r="F23" i="9" l="1"/>
  <c r="I15" i="6"/>
  <c r="I16" i="6" s="1"/>
  <c r="J13" i="6" l="1"/>
  <c r="J14" i="6" s="1"/>
  <c r="E23" i="9"/>
  <c r="G23" i="9" s="1"/>
  <c r="C24" i="9" s="1"/>
  <c r="F24" i="9" l="1"/>
  <c r="J15" i="6"/>
  <c r="J16" i="6"/>
  <c r="K13" i="6" l="1"/>
  <c r="K14" i="6" s="1"/>
  <c r="E24" i="9"/>
  <c r="G24" i="9" s="1"/>
  <c r="C25" i="9" s="1"/>
  <c r="F25" i="9" l="1"/>
  <c r="K15" i="6"/>
  <c r="K16" i="6" s="1"/>
  <c r="L13" i="6" l="1"/>
  <c r="L14" i="6" s="1"/>
  <c r="E25" i="9"/>
  <c r="G25" i="9" s="1"/>
  <c r="C26" i="9" s="1"/>
  <c r="F26" i="9" l="1"/>
  <c r="L15" i="6"/>
  <c r="L16" i="6" s="1"/>
  <c r="M13" i="6" l="1"/>
  <c r="E26" i="9"/>
  <c r="G26" i="9" s="1"/>
  <c r="C27" i="9" s="1"/>
  <c r="F27" i="9" l="1"/>
  <c r="N13" i="6"/>
  <c r="M14" i="6"/>
  <c r="M15" i="6" l="1"/>
  <c r="N15" i="6" s="1"/>
  <c r="N14" i="6"/>
  <c r="E27" i="9"/>
  <c r="C15" i="7" l="1"/>
  <c r="C17" i="7" s="1"/>
  <c r="C18" i="7" s="1"/>
  <c r="G27" i="9"/>
  <c r="C28" i="9" s="1"/>
  <c r="M16" i="6"/>
  <c r="N16" i="6"/>
  <c r="F28" i="9" l="1"/>
  <c r="E28" i="9" l="1"/>
  <c r="G28" i="9" l="1"/>
  <c r="C29" i="9" s="1"/>
  <c r="F29" i="9" l="1"/>
  <c r="E29" i="9" l="1"/>
  <c r="G29" i="9" l="1"/>
  <c r="C30" i="9" s="1"/>
  <c r="F30" i="9" l="1"/>
  <c r="E30" i="9" l="1"/>
  <c r="G30" i="9" l="1"/>
  <c r="C31" i="9" s="1"/>
  <c r="G31" i="9" l="1"/>
  <c r="C32" i="9" s="1"/>
  <c r="F31" i="9"/>
  <c r="E31" i="9" s="1"/>
  <c r="F32" i="9" l="1"/>
  <c r="E32" i="9" s="1"/>
  <c r="G32" i="9" s="1"/>
  <c r="C33" i="9" s="1"/>
  <c r="F33" i="9" l="1"/>
  <c r="E33" i="9" s="1"/>
  <c r="G33" i="9" s="1"/>
  <c r="C34" i="9" s="1"/>
  <c r="G34" i="9" l="1"/>
  <c r="C35" i="9" s="1"/>
  <c r="F34" i="9"/>
  <c r="E34" i="9" s="1"/>
  <c r="F35" i="9" l="1"/>
  <c r="E35" i="9" s="1"/>
  <c r="G35" i="9" s="1"/>
  <c r="C36" i="9" s="1"/>
  <c r="F36" i="9" l="1"/>
  <c r="E36" i="9" s="1"/>
  <c r="G36" i="9" s="1"/>
  <c r="C37" i="9" s="1"/>
  <c r="F37" i="9" l="1"/>
  <c r="E37" i="9" s="1"/>
  <c r="G37" i="9" s="1"/>
  <c r="C38" i="9" s="1"/>
  <c r="F38" i="9" l="1"/>
  <c r="E38" i="9" s="1"/>
  <c r="G38" i="9" s="1"/>
  <c r="C39" i="9" s="1"/>
  <c r="F39" i="9" l="1"/>
  <c r="E39" i="9" l="1"/>
  <c r="G39" i="9" l="1"/>
  <c r="C40" i="9" s="1"/>
  <c r="F40" i="9" l="1"/>
  <c r="E40" i="9" l="1"/>
  <c r="G40" i="9" l="1"/>
  <c r="C41" i="9" s="1"/>
  <c r="F41" i="9" l="1"/>
  <c r="E41" i="9" l="1"/>
  <c r="G41" i="9" l="1"/>
  <c r="C42" i="9" s="1"/>
  <c r="F42" i="9" l="1"/>
  <c r="E42" i="9" l="1"/>
  <c r="G42" i="9" l="1"/>
  <c r="C43" i="9" s="1"/>
  <c r="F43" i="9" l="1"/>
  <c r="E43" i="9" s="1"/>
  <c r="G43" i="9" s="1"/>
  <c r="C44" i="9" s="1"/>
  <c r="G44" i="9" l="1"/>
  <c r="C45" i="9" s="1"/>
  <c r="F44" i="9"/>
  <c r="E44" i="9" s="1"/>
  <c r="F45" i="9" l="1"/>
  <c r="E45" i="9" s="1"/>
  <c r="G45" i="9" s="1"/>
  <c r="C46" i="9" s="1"/>
  <c r="F46" i="9" l="1"/>
  <c r="E46" i="9" s="1"/>
  <c r="G46" i="9" s="1"/>
  <c r="C47" i="9" s="1"/>
  <c r="F47" i="9" l="1"/>
  <c r="E47" i="9" s="1"/>
  <c r="G47" i="9" s="1"/>
  <c r="C48" i="9" s="1"/>
  <c r="F48" i="9" l="1"/>
  <c r="E48" i="9" s="1"/>
  <c r="G48" i="9" s="1"/>
  <c r="C49" i="9" s="1"/>
  <c r="F49" i="9" l="1"/>
  <c r="E49" i="9" s="1"/>
  <c r="G49" i="9" s="1"/>
  <c r="C50" i="9" s="1"/>
  <c r="F50" i="9" l="1"/>
  <c r="E50" i="9" s="1"/>
  <c r="G50" i="9" s="1"/>
  <c r="C51" i="9" s="1"/>
  <c r="F51" i="9" l="1"/>
  <c r="E51" i="9" l="1"/>
  <c r="G51" i="9" l="1"/>
  <c r="C52" i="9" s="1"/>
  <c r="F52" i="9" l="1"/>
  <c r="E52" i="9" l="1"/>
  <c r="G52" i="9" l="1"/>
  <c r="C53" i="9" s="1"/>
  <c r="F53" i="9" l="1"/>
  <c r="E53" i="9" l="1"/>
  <c r="G53" i="9" l="1"/>
  <c r="C54" i="9" s="1"/>
  <c r="F54" i="9" l="1"/>
  <c r="E54" i="9" s="1"/>
  <c r="G54" i="9" l="1"/>
  <c r="C55" i="9" s="1"/>
  <c r="F55" i="9" l="1"/>
  <c r="E55" i="9" s="1"/>
  <c r="G55" i="9" s="1"/>
  <c r="C56" i="9" s="1"/>
  <c r="G56" i="9" l="1"/>
  <c r="C57" i="9" s="1"/>
  <c r="F56" i="9"/>
  <c r="E56" i="9" s="1"/>
  <c r="F57" i="9" l="1"/>
  <c r="E57" i="9" s="1"/>
  <c r="G57" i="9" s="1"/>
  <c r="C58" i="9" s="1"/>
  <c r="F58" i="9" l="1"/>
  <c r="E58" i="9" s="1"/>
  <c r="G58" i="9" s="1"/>
  <c r="C59" i="9" s="1"/>
  <c r="F59" i="9" l="1"/>
  <c r="E59" i="9" s="1"/>
  <c r="G59" i="9" s="1"/>
  <c r="C60" i="9" s="1"/>
  <c r="F60" i="9" l="1"/>
  <c r="E60" i="9" s="1"/>
  <c r="G60" i="9" s="1"/>
  <c r="C61" i="9" s="1"/>
  <c r="F61" i="9" l="1"/>
  <c r="E61" i="9" s="1"/>
  <c r="G61" i="9" s="1"/>
  <c r="C62" i="9" s="1"/>
  <c r="F62" i="9" l="1"/>
  <c r="E62" i="9" s="1"/>
  <c r="G62" i="9" s="1"/>
  <c r="C63" i="9" s="1"/>
  <c r="F63" i="9" l="1"/>
  <c r="E63" i="9" l="1"/>
  <c r="G63" i="9" l="1"/>
  <c r="C64" i="9" s="1"/>
  <c r="F64" i="9" l="1"/>
  <c r="E64" i="9" l="1"/>
  <c r="G64" i="9" l="1"/>
  <c r="C65" i="9" s="1"/>
  <c r="F65" i="9" l="1"/>
  <c r="E65" i="9" l="1"/>
  <c r="G65" i="9" l="1"/>
  <c r="C66" i="9" s="1"/>
  <c r="F66" i="9" l="1"/>
  <c r="E66" i="9" l="1"/>
  <c r="G66" i="9" l="1"/>
  <c r="C67" i="9" s="1"/>
  <c r="F67" i="9" l="1"/>
  <c r="E67" i="9" s="1"/>
  <c r="G67" i="9" s="1"/>
  <c r="C68" i="9" s="1"/>
  <c r="F68" i="9" l="1"/>
  <c r="E68" i="9" s="1"/>
  <c r="G68" i="9" s="1"/>
  <c r="C69" i="9" s="1"/>
  <c r="F69" i="9" l="1"/>
  <c r="E69" i="9" s="1"/>
  <c r="G69" i="9" s="1"/>
  <c r="C70" i="9" s="1"/>
  <c r="F70" i="9" l="1"/>
  <c r="E70" i="9" s="1"/>
  <c r="G70" i="9" s="1"/>
  <c r="C71" i="9" s="1"/>
  <c r="F71" i="9" l="1"/>
  <c r="E71" i="9" s="1"/>
  <c r="G71" i="9" s="1"/>
  <c r="C72" i="9" s="1"/>
  <c r="F72" i="9" l="1"/>
  <c r="E72" i="9" s="1"/>
  <c r="G72" i="9" s="1"/>
  <c r="C73" i="9" s="1"/>
  <c r="F73" i="9" l="1"/>
  <c r="E73" i="9" s="1"/>
  <c r="G73" i="9" s="1"/>
  <c r="C74" i="9" s="1"/>
  <c r="F74" i="9" l="1"/>
  <c r="E74" i="9" l="1"/>
  <c r="J16" i="9"/>
  <c r="F75" i="9"/>
  <c r="J17" i="9"/>
  <c r="J18" i="9"/>
  <c r="J19" i="9"/>
  <c r="J20" i="9"/>
  <c r="Q13" i="6" l="1"/>
  <c r="Q14" i="6" s="1"/>
  <c r="E26" i="7"/>
  <c r="E28" i="7" s="1"/>
  <c r="P13" i="6"/>
  <c r="P14" i="6" s="1"/>
  <c r="G26" i="7"/>
  <c r="G28" i="7" s="1"/>
  <c r="R13" i="6"/>
  <c r="R14" i="6" s="1"/>
  <c r="O13" i="6"/>
  <c r="K16" i="9"/>
  <c r="C26" i="7" s="1"/>
  <c r="C28" i="7" s="1"/>
  <c r="E75" i="9"/>
  <c r="K17" i="9"/>
  <c r="D26" i="7" s="1"/>
  <c r="D28" i="7" s="1"/>
  <c r="K18" i="9"/>
  <c r="K19" i="9"/>
  <c r="F26" i="7" s="1"/>
  <c r="F28" i="7" s="1"/>
  <c r="K20" i="9"/>
  <c r="G74" i="9"/>
  <c r="C30" i="7" l="1"/>
  <c r="C29" i="7"/>
  <c r="R15" i="6"/>
  <c r="G15" i="7" s="1"/>
  <c r="G17" i="7" s="1"/>
  <c r="G18" i="7" s="1"/>
  <c r="O14" i="6"/>
  <c r="V13" i="6"/>
  <c r="Q15" i="6"/>
  <c r="F15" i="7" s="1"/>
  <c r="F17" i="7" s="1"/>
  <c r="F18" i="7" s="1"/>
  <c r="P15" i="6"/>
  <c r="E15" i="7" s="1"/>
  <c r="E17" i="7" s="1"/>
  <c r="E18" i="7" s="1"/>
  <c r="F29" i="7" l="1"/>
  <c r="F30" i="7"/>
  <c r="G29" i="7"/>
  <c r="G30" i="7"/>
  <c r="D6" i="7"/>
  <c r="B7" i="8"/>
  <c r="E30" i="7"/>
  <c r="E29" i="7"/>
  <c r="P16" i="6"/>
  <c r="Q16" i="6"/>
  <c r="O15" i="6"/>
  <c r="V14" i="6"/>
  <c r="R16" i="6"/>
  <c r="D15" i="7" l="1"/>
  <c r="D17" i="7" s="1"/>
  <c r="D18" i="7" s="1"/>
  <c r="V15" i="6"/>
  <c r="E7" i="8"/>
  <c r="L8" i="8"/>
  <c r="M8" i="8" s="1"/>
  <c r="B11" i="8"/>
  <c r="H6" i="7"/>
  <c r="O16" i="6"/>
  <c r="B9" i="8"/>
  <c r="F6" i="7"/>
  <c r="V16" i="6"/>
  <c r="B18" i="6" s="1"/>
  <c r="B23" i="8" s="1"/>
  <c r="B10" i="8"/>
  <c r="G6" i="7"/>
  <c r="E10" i="8" l="1"/>
  <c r="H10" i="8" s="1"/>
  <c r="L11" i="8"/>
  <c r="L12" i="8"/>
  <c r="E11" i="8"/>
  <c r="H11" i="8" s="1"/>
  <c r="L10" i="8"/>
  <c r="E9" i="8"/>
  <c r="H9" i="8" s="1"/>
  <c r="H7" i="8"/>
  <c r="B33" i="8"/>
  <c r="D30" i="7"/>
  <c r="D29" i="7"/>
  <c r="B8" i="8" l="1"/>
  <c r="E6" i="7"/>
  <c r="E8" i="8" l="1"/>
  <c r="L9" i="8"/>
  <c r="M9" i="8" s="1"/>
  <c r="M10" i="8" l="1"/>
  <c r="M11" i="8" s="1"/>
  <c r="M12" i="8" s="1"/>
  <c r="M13" i="8" s="1"/>
  <c r="M14" i="8" s="1"/>
  <c r="M15" i="8" s="1"/>
  <c r="H8" i="8"/>
  <c r="B35" i="8"/>
  <c r="B39" i="8"/>
  <c r="B38" i="8"/>
  <c r="B40" i="8"/>
  <c r="F21" i="8"/>
  <c r="B36" i="8"/>
  <c r="B37" i="8"/>
  <c r="B34" i="8"/>
  <c r="F20" i="8"/>
  <c r="E25" i="8" s="1"/>
  <c r="I21" i="8" l="1"/>
  <c r="E26" i="8" s="1"/>
  <c r="I20" i="8"/>
  <c r="M17" i="8"/>
</calcChain>
</file>

<file path=xl/sharedStrings.xml><?xml version="1.0" encoding="utf-8"?>
<sst xmlns="http://schemas.openxmlformats.org/spreadsheetml/2006/main" count="325" uniqueCount="275">
  <si>
    <t>AeroGuardia</t>
  </si>
  <si>
    <t>CÁLCULO DE LA INVERSIÓN INICIAL</t>
  </si>
  <si>
    <t>CONCEPTO</t>
  </si>
  <si>
    <t>CANTIDAD</t>
  </si>
  <si>
    <t>Desarrollo inicial del software</t>
  </si>
  <si>
    <t>Auditoría y pruebas de ciberseguridad</t>
  </si>
  <si>
    <t>Diseño de interfaz y experiencia de usuario (UI/UX)</t>
  </si>
  <si>
    <t>Infraestructura tecnológica inicial</t>
  </si>
  <si>
    <t>Registro de marca y asesoría legal</t>
  </si>
  <si>
    <t>Desarrollo de sitio web corporativo</t>
  </si>
  <si>
    <t>Equipo demostrativo de hardware</t>
  </si>
  <si>
    <t>Fondo operativo inicial</t>
  </si>
  <si>
    <t>Equipo de transporte y entrega</t>
  </si>
  <si>
    <t>Activos diferidos</t>
  </si>
  <si>
    <t xml:space="preserve">Depósito y renta </t>
  </si>
  <si>
    <t>Gastos de instalación (remodelaciones)</t>
  </si>
  <si>
    <t>Gastos de organización (notario, permisos, escrituras, honorarios, etc.)</t>
  </si>
  <si>
    <t>Gastos para iniciar operaciones (papelería, consumibles, artículos varios)</t>
  </si>
  <si>
    <t>Gastos de mercadotecnia</t>
  </si>
  <si>
    <t>Activos intangibles</t>
  </si>
  <si>
    <t>Patentes y marcas</t>
  </si>
  <si>
    <t>Dominios de internet</t>
  </si>
  <si>
    <t>Licencias de uso (software)</t>
  </si>
  <si>
    <t>TOTAL DE INVERSIÓN INICIAL</t>
  </si>
  <si>
    <t>ESTRUCTURA FINANCIERA</t>
  </si>
  <si>
    <t>$(MXN)</t>
  </si>
  <si>
    <t>Patrimonio propio</t>
  </si>
  <si>
    <t>Recursos ajenos (crédito)</t>
  </si>
  <si>
    <t>PRONÓSTICO DE NUEVAS IMPLEMENTACIONES (CLIENTES NUEVOS) — AÑO 1</t>
  </si>
  <si>
    <t>MES</t>
  </si>
  <si>
    <t>CLIENTES NUEVOS
(IMPLEMENTACIONES)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</si>
  <si>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</si>
  <si>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</si>
  <si>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</si>
  <si>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</si>
  <si>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</si>
  <si>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</si>
  <si>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</si>
  <si>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</si>
  <si>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</si>
  <si>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</si>
  <si>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</si>
  <si>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</si>
  <si>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</si>
  <si>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Clientes el primer año</t>
  </si>
  <si>
    <t>PRESUPUESTO DE OPERACIÓN</t>
  </si>
  <si>
    <t>Precios de venta</t>
  </si>
  <si>
    <t>Primer semestre</t>
  </si>
  <si>
    <t>Cuota de implementación (por cliente nuevo)</t>
  </si>
  <si>
    <t>Ventas presupuestadas en unidades el primer año (clientes nuevos)</t>
  </si>
  <si>
    <t>Concepto</t>
  </si>
  <si>
    <t>Primer año</t>
  </si>
  <si>
    <t>Implementaciones nuevas</t>
  </si>
  <si>
    <t>Total</t>
  </si>
  <si>
    <t>1.- Presupuesto de ventas por implementación</t>
  </si>
  <si>
    <t>Servicio</t>
  </si>
  <si>
    <t>Primer Año</t>
  </si>
  <si>
    <t>Cuota de implementación</t>
  </si>
  <si>
    <t>Suscripción mensual</t>
  </si>
  <si>
    <t>Precio</t>
  </si>
  <si>
    <t>Costo variable</t>
  </si>
  <si>
    <t>Precio de suscripción / costo operativo por cliente</t>
  </si>
  <si>
    <t>2.-Presupuesto de gastos de venta anuales (100%, sin recorte)</t>
  </si>
  <si>
    <t>Cantidad</t>
  </si>
  <si>
    <t>Sueldo Director de Operaciones y Desarrollo Comercial</t>
  </si>
  <si>
    <t>Publicidad y promoción digital</t>
  </si>
  <si>
    <t>3.-Presupuesto de gastos de administración anuales (100%, sin recorte)</t>
  </si>
  <si>
    <t>Sueldo Director General (CEO) y Director de Desarrollo</t>
  </si>
  <si>
    <t>Hospedaje de la plataforma</t>
  </si>
  <si>
    <t>Bases de datos y almacenamiento</t>
  </si>
  <si>
    <t>Dominio, correo empresarial y certificados SSL</t>
  </si>
  <si>
    <t>Licencias y herramientas de desarrollo</t>
  </si>
  <si>
    <t>Servicios contables y administrativos</t>
  </si>
  <si>
    <t>Internet y comunicaciones</t>
  </si>
  <si>
    <t xml:space="preserve">Nota: los años 1-2 aplican un recorte del 50% sobre los $50,000/mes de sueldos de </t>
  </si>
  <si>
    <t>fundadores (ver hoja 'Estado de Resultados'); esta hoja muestra los montos anuales al 100%.</t>
  </si>
  <si>
    <t>Pago mensual del crédito (Financieros, no es gasto de operación — ver Estado de Resultados)</t>
  </si>
  <si>
    <t>DETERMINACIÓN DEL PRECIO DE VENTA — AeroGuardia</t>
  </si>
  <si>
    <t xml:space="preserve">Sueldos de fundadores (Director General $30,000 + Director de Operaciones $20,000 = $50,000/mes) recortados 50% en años 1-2 mientras el negocio gana tracción </t>
  </si>
  <si>
    <t>2.-Presupuesto de gastos de venta</t>
  </si>
  <si>
    <t>Director de Operaciones y Desarrollo Comercial (sueldo anual, 100%)</t>
  </si>
  <si>
    <t>Seguro social</t>
  </si>
  <si>
    <t>Agua</t>
  </si>
  <si>
    <t xml:space="preserve">Luz </t>
  </si>
  <si>
    <t>Teléfono</t>
  </si>
  <si>
    <t>Renta</t>
  </si>
  <si>
    <t>Internet</t>
  </si>
  <si>
    <t>Mantenimiento de equipo de entrega</t>
  </si>
  <si>
    <t>Depreciaciones</t>
  </si>
  <si>
    <t>Publicidad y promoción</t>
  </si>
  <si>
    <t>Gasolina</t>
  </si>
  <si>
    <t>3.- Gastos de administración</t>
  </si>
  <si>
    <t>Director General (CEO) y Director de Desarrollo (sueldo anual, 100%)</t>
  </si>
  <si>
    <t>Hospedaje de la plataforma (cloud hosting)</t>
  </si>
  <si>
    <t>Papelería y útiles de oficina</t>
  </si>
  <si>
    <t>Total costos fijos anuales (100%, sin recorte)</t>
  </si>
  <si>
    <t>Sueldos de fundadores (subtotal, 100%)</t>
  </si>
  <si>
    <t>Otros costos fijos (no se recortan)</t>
  </si>
  <si>
    <t>Insumos directos x servicio (hardware e instalación, Tabla 18)</t>
  </si>
  <si>
    <t>Sueldos directos x servicio (servicios de implementación, Tabla 19)</t>
  </si>
  <si>
    <t>Costo variable unitario (costo real de implementación)</t>
  </si>
  <si>
    <t>Determinación del precio</t>
  </si>
  <si>
    <t>Datos:</t>
  </si>
  <si>
    <t>Costos fijos</t>
  </si>
  <si>
    <t>Costo variable unitario</t>
  </si>
  <si>
    <t>Ventas esperadas (implementaciones) por mes</t>
  </si>
  <si>
    <t>% utilidad=</t>
  </si>
  <si>
    <t>Costo unitario (CU)</t>
  </si>
  <si>
    <t>CU=</t>
  </si>
  <si>
    <t>CVU+ (CF/VE)</t>
  </si>
  <si>
    <t>Nota: el modelo genérico CU=CVU+(CF/VE) reparte TODOS los costos fijos anuales entre las pocas implementaciones nuevas del mes (B51≈0.42), por lo que sobreestima el costo unitario — no aplica bien a un negocio con doble ingreso (cuota única + suscripción recurrente). El precio comercial real (abajo) se fijó por costo real + margen, no con esta fórmula.</t>
  </si>
  <si>
    <t>Precio de venta</t>
  </si>
  <si>
    <t>PV=</t>
  </si>
  <si>
    <t>CU/1-%Utilidad</t>
  </si>
  <si>
    <t>Precio comercial de implementación fijado (Tabla 16-20 del reporte)</t>
  </si>
  <si>
    <t>$18,200 x 1.40 = $25,480, redondeado a $25,500 por simplicidad comercial</t>
  </si>
  <si>
    <t>Costo operativo mensual por cliente activo (Tabla 21)</t>
  </si>
  <si>
    <t>Precio de suscripción mensual (fijado por análisis competitivo, Tabla 23)</t>
  </si>
  <si>
    <t>Margen de contribución mensual por cliente</t>
  </si>
  <si>
    <t>VENTAS PRESUPUESTADAS AÑO 1 EN $ — AeroGuardia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</si>
  <si>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</si>
  <si>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</si>
  <si>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</si>
  <si>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</si>
  <si>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</si>
  <si>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</si>
  <si>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</si>
  <si>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</si>
  <si>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</si>
  <si>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</si>
  <si>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</si>
  <si>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</si>
  <si>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Clientes nuevos (implementaciones)</t>
  </si>
  <si>
    <t>Clientes activos (acumulado)</t>
  </si>
  <si>
    <t>Precio de implementación</t>
  </si>
  <si>
    <t>Ingreso por implementación</t>
  </si>
  <si>
    <t>Precio de suscripción mensual</t>
  </si>
  <si>
    <t>Ingreso por suscripción</t>
  </si>
  <si>
    <t>Total ventas</t>
  </si>
  <si>
    <t>Costo variable de implementación</t>
  </si>
  <si>
    <t>Costo de implementación (COGS)</t>
  </si>
  <si>
    <t>Costo operativo mensual por cliente activo</t>
  </si>
  <si>
    <t>Costo operativo de clientes activos</t>
  </si>
  <si>
    <t>Costo de ventas total</t>
  </si>
  <si>
    <t>ESTADO DE RESULTADOS PRESUPUESTADO</t>
  </si>
  <si>
    <t>AÑO 1</t>
  </si>
  <si>
    <t>PROYECCIÓN POR CRECIMIENTO DE CARTERA DE CLIENTES (Tabla 26 del reporte, años 2-5)</t>
  </si>
  <si>
    <t xml:space="preserve">INCREMENTO DE VENTAS DEL 10% </t>
  </si>
  <si>
    <t xml:space="preserve">INCREMENTO DE VENTAS DEL 15% </t>
  </si>
  <si>
    <t xml:space="preserve">INCREMENTO DE VENTAS DEL 25% </t>
  </si>
  <si>
    <t>AÑOS 6-8: EXTRAPOLACIÓN (no está en el reporte — ver nota)</t>
  </si>
  <si>
    <t>TOTAL
8 AÑOS</t>
  </si>
  <si>
    <t>Total año 1</t>
  </si>
  <si>
    <t>AÑO 2</t>
  </si>
  <si>
    <t>AÑO 3</t>
  </si>
  <si>
    <t>AÑO 4</t>
  </si>
  <si>
    <t>AÑO 5</t>
  </si>
  <si>
    <t>AÑO 6</t>
  </si>
  <si>
    <t>AÑO 7</t>
  </si>
  <si>
    <t>AÑO 8</t>
  </si>
  <si>
    <t>Ventas</t>
  </si>
  <si>
    <t>Costo de Ventas</t>
  </si>
  <si>
    <t>Utilidad Bruta</t>
  </si>
  <si>
    <t>Sueldos de fundadores (con recorte años 1-2)</t>
  </si>
  <si>
    <t>Otros gastos fijos (venta + administración, sin recorte)</t>
  </si>
  <si>
    <t>Total gastos de operación</t>
  </si>
  <si>
    <t>Utilidad de Operación</t>
  </si>
  <si>
    <t>Financieros (intereses del crédito — $0 desde año 6, crédito liquidado)</t>
  </si>
  <si>
    <t>Utilidad antes de impuestos</t>
  </si>
  <si>
    <t>Impuestos (ISR 30%)</t>
  </si>
  <si>
    <t>Utilidad del Ejercicio</t>
  </si>
  <si>
    <t>Rendimiento sobre la inversión (ROI = Utilidad neta acumulada / Inversión inicial, 8 años)</t>
  </si>
  <si>
    <t>Inversión inicial</t>
  </si>
  <si>
    <t>Supuestos años 2-8</t>
  </si>
  <si>
    <t>Año</t>
  </si>
  <si>
    <t>Clientes inicio</t>
  </si>
  <si>
    <t>Clientes fin</t>
  </si>
  <si>
    <t>Clientes nuevos</t>
  </si>
  <si>
    <t>Inflación anual (gastos fijos)</t>
  </si>
  <si>
    <t>ISR (México)</t>
  </si>
  <si>
    <t>Sueldos de fundadores (100%, anual)</t>
  </si>
  <si>
    <t>Otros costos fijos año 1 (100%, anual)</t>
  </si>
  <si>
    <t>Factor de reducción de sueldos por año (1=100%, 0.5=recorte 50%)</t>
  </si>
  <si>
    <t>Factor</t>
  </si>
  <si>
    <t>Nota: años 6-8 (columnas S-T-U) son una extrapolación de la Tabla 26 al mismo ritmo de crecimiento del último tramo documentado (+50% anual) — no están en el reporte, se muestran para responder "¿en cuántos años es viable AeroGuardia?".</t>
  </si>
  <si>
    <t>FLUJO DE EFECTIVO — AeroGuardia</t>
  </si>
  <si>
    <t>Año 0</t>
  </si>
  <si>
    <t>Total año 2</t>
  </si>
  <si>
    <t>Total año 3</t>
  </si>
  <si>
    <t>Total año 4</t>
  </si>
  <si>
    <t>Total año 5</t>
  </si>
  <si>
    <t>Total año 6</t>
  </si>
  <si>
    <t>Total año 7</t>
  </si>
  <si>
    <t>Total año 8</t>
  </si>
  <si>
    <t>Saldo inicial de la cuenta en efectivo (informativo, acumulado)</t>
  </si>
  <si>
    <t>Entradas de operación:</t>
  </si>
  <si>
    <t>Ventas cobradas al contado</t>
  </si>
  <si>
    <t>Cuentas x cobrar</t>
  </si>
  <si>
    <t>Otras entradas</t>
  </si>
  <si>
    <t>Total de entradas de operación</t>
  </si>
  <si>
    <t>Salidas de operación:</t>
  </si>
  <si>
    <t>Costo de ventas</t>
  </si>
  <si>
    <t>Gastos de operación (venta + administración)</t>
  </si>
  <si>
    <t>Impuestos (ISR)</t>
  </si>
  <si>
    <t>Otras salidas de operación</t>
  </si>
  <si>
    <t xml:space="preserve">Total de salidas </t>
  </si>
  <si>
    <t>Flujo de efectivo de operación</t>
  </si>
  <si>
    <t>Entradas financieras y de inversión:</t>
  </si>
  <si>
    <t>Aportaciones de capital</t>
  </si>
  <si>
    <t>Préstamo bancario</t>
  </si>
  <si>
    <t>Otras entradas financieras y de inversión</t>
  </si>
  <si>
    <t>Total de entradas financieras y de inversión:</t>
  </si>
  <si>
    <t>Salidas financieras y de inversión:</t>
  </si>
  <si>
    <t>Compra de bienes de capital (inversión inicial)</t>
  </si>
  <si>
    <t>Pago de préstamo e intereses ($0 desde año 6, crédito liquidado)</t>
  </si>
  <si>
    <t>Otras salidas financieras y de inversión</t>
  </si>
  <si>
    <t>Total de salidas financieras y de inversión</t>
  </si>
  <si>
    <t>Flujo neto de efectivo del período</t>
  </si>
  <si>
    <t xml:space="preserve">Saldo final de flujo de efectivo </t>
  </si>
  <si>
    <t>VALOR ACTUAL NETO, TASA INTERNA DE RETORNO, ROI Y HORIZONTE DE VIABILIDAD — AeroGuardia</t>
  </si>
  <si>
    <t>Inversión Inicial</t>
  </si>
  <si>
    <t>Valor Actual Neto</t>
  </si>
  <si>
    <t>VAN</t>
  </si>
  <si>
    <t>Tasa Interna de Retorno</t>
  </si>
  <si>
    <t>TIR</t>
  </si>
  <si>
    <t>Recuperación de la inversión</t>
  </si>
  <si>
    <t>Flujos</t>
  </si>
  <si>
    <t>Inversión inicial (en negativo)</t>
  </si>
  <si>
    <t>Flujo neto</t>
  </si>
  <si>
    <t>Acumulado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</si>
  <si>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</si>
  <si>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</si>
  <si>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</si>
  <si>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</si>
  <si>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</si>
  <si>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</si>
  <si>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</si>
  <si>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</si>
  <si>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</si>
  <si>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</si>
  <si>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</si>
  <si>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Periodo de recuperación simple (sin descuento, años)</t>
  </si>
  <si>
    <t>F12</t>
  </si>
  <si>
    <t>n (años proyectados)</t>
  </si>
  <si>
    <t>k = tasa de descuento (costo de la deuda, 100% financiado)</t>
  </si>
  <si>
    <t>VAN a 5 años</t>
  </si>
  <si>
    <t>TIR a 5 años</t>
  </si>
  <si>
    <t>Inversión inicial en negativo</t>
  </si>
  <si>
    <t>VAN a 8 años</t>
  </si>
  <si>
    <t>TIR a 8 años</t>
  </si>
  <si>
    <t>ROI a 8 años (Utilidad acumulada / Inversión inicial)</t>
  </si>
  <si>
    <t>El proyecto a 5 años es:</t>
  </si>
  <si>
    <t>El proyecto a 8 años es:</t>
  </si>
  <si>
    <t>¿En cuántos años es viable AeroGuardia? El VAN se vuelve positivo entre los años 6 y 7 (ver F20/F21 y la tabla de VAN por horizonte abajo) — el proyecto NO es viable a 5 años bajo el criterio estándar VAN/TIR, pero SÍ es viable a mediano plazo.</t>
  </si>
  <si>
    <t>VAN por horizonte (n años)</t>
  </si>
  <si>
    <t>VAN acumulado a ese horizonte</t>
  </si>
  <si>
    <t>Tabla de amortización del crédito</t>
  </si>
  <si>
    <t>Entidad financiera: crédito empresarial PYME a 5 años (se liquida al final del año 5)</t>
  </si>
  <si>
    <t>Importe del préstamo (MXN)</t>
  </si>
  <si>
    <t>Interés anual nominal</t>
  </si>
  <si>
    <t>Plazo (años)</t>
  </si>
  <si>
    <t>Pagos por año</t>
  </si>
  <si>
    <t>Número total de pagos</t>
  </si>
  <si>
    <t>Tasa mensual</t>
  </si>
  <si>
    <t>Pago mensual (PMT)</t>
  </si>
  <si>
    <t>Interés total del crédito</t>
  </si>
  <si>
    <t>Pago Nº</t>
  </si>
  <si>
    <t>Saldo inicial</t>
  </si>
  <si>
    <t>Pago mensual</t>
  </si>
  <si>
    <t>Capital</t>
  </si>
  <si>
    <t>Intereses</t>
  </si>
  <si>
    <t>Saldo final</t>
  </si>
  <si>
    <t>Resumen anual</t>
  </si>
  <si>
    <t>Interés del año</t>
  </si>
  <si>
    <t>Capital del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</si>
</sst>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0.0%"/>
    <numFmt numFmtId="166" formatCode="&quot;$&quot;#,##0"/>
    <numFmt numFmtId="167" formatCode="0.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name val="Calibri"/>
    </font>
    <font>
      <b/>
      <sz val="11"/>
      <color rgb="FFFFFFFF"/>
      <name val="Calibri"/>
    </font>
    <font>
      <i/>
      <sz val="11"/>
      <color rgb="FFC00000"/>
      <name val="Calibri"/>
    </font>
    <font>
      <b/>
      <i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/>
    <xf numFmtId="43" fontId="1" fillId="0" borderId="0"/>
    <xf numFmtId="9" fontId="1" fillId="0" borderId="0"/>
  </cellStyleXfs>
  <cellXfs count="153">
    <xf numFmtId="0" fontId="0" fillId="0" borderId="0" xfId="0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3" fontId="0" fillId="0" borderId="1" xfId="0" applyNumberFormat="1" applyBorder="1"/>
    <xf numFmtId="4" fontId="0" fillId="0" borderId="0" xfId="0" applyNumberFormat="1"/>
    <xf numFmtId="3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0" fillId="0" borderId="0" xfId="3" applyNumberFormat="1" applyFont="1"/>
    <xf numFmtId="0" fontId="5" fillId="0" borderId="0" xfId="0" applyFont="1" applyAlignment="1">
      <alignment horizontal="center" vertical="center" wrapText="1"/>
    </xf>
    <xf numFmtId="0" fontId="2" fillId="0" borderId="1" xfId="0" applyFont="1" applyBorder="1"/>
    <xf numFmtId="1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" fontId="0" fillId="0" borderId="1" xfId="1" applyNumberFormat="1" applyFont="1" applyBorder="1"/>
    <xf numFmtId="3" fontId="0" fillId="0" borderId="1" xfId="1" applyNumberFormat="1" applyFont="1" applyBorder="1"/>
    <xf numFmtId="0" fontId="9" fillId="0" borderId="0" xfId="0" applyFont="1"/>
    <xf numFmtId="0" fontId="10" fillId="0" borderId="0" xfId="0" applyFont="1"/>
    <xf numFmtId="0" fontId="2" fillId="7" borderId="1" xfId="0" applyFont="1" applyFill="1" applyBorder="1" applyAlignment="1">
      <alignment horizontal="center"/>
    </xf>
    <xf numFmtId="3" fontId="2" fillId="0" borderId="0" xfId="0" applyNumberFormat="1" applyFont="1" applyAlignment="1">
      <alignment wrapText="1"/>
    </xf>
    <xf numFmtId="164" fontId="0" fillId="0" borderId="0" xfId="0" applyNumberFormat="1"/>
    <xf numFmtId="0" fontId="6" fillId="0" borderId="1" xfId="0" applyFont="1" applyBorder="1" applyAlignment="1">
      <alignment horizontal="center" wrapText="1"/>
    </xf>
    <xf numFmtId="0" fontId="11" fillId="0" borderId="1" xfId="0" applyFont="1" applyBorder="1"/>
    <xf numFmtId="10" fontId="0" fillId="0" borderId="0" xfId="0" applyNumberFormat="1"/>
    <xf numFmtId="10" fontId="0" fillId="3" borderId="1" xfId="0" applyNumberFormat="1" applyFill="1" applyBorder="1"/>
    <xf numFmtId="0" fontId="11" fillId="0" borderId="0" xfId="0" applyFont="1"/>
    <xf numFmtId="0" fontId="0" fillId="10" borderId="1" xfId="0" applyFill="1" applyBorder="1"/>
    <xf numFmtId="0" fontId="0" fillId="10" borderId="0" xfId="0" applyFill="1"/>
    <xf numFmtId="0" fontId="13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10" fontId="0" fillId="3" borderId="1" xfId="1" applyNumberFormat="1" applyFont="1" applyFill="1" applyBorder="1"/>
    <xf numFmtId="10" fontId="2" fillId="0" borderId="1" xfId="0" applyNumberFormat="1" applyFont="1" applyBorder="1"/>
    <xf numFmtId="0" fontId="15" fillId="0" borderId="0" xfId="0" applyFont="1"/>
    <xf numFmtId="0" fontId="2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7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17" fillId="5" borderId="1" xfId="0" applyFont="1" applyFill="1" applyBorder="1" applyAlignment="1">
      <alignment horizontal="center" wrapText="1"/>
    </xf>
    <xf numFmtId="0" fontId="17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0" xfId="0" applyFill="1" applyAlignment="1">
      <alignment horizontal="left" wrapText="1"/>
    </xf>
    <xf numFmtId="0" fontId="0" fillId="12" borderId="0" xfId="0" applyFill="1"/>
    <xf numFmtId="0" fontId="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0" fontId="0" fillId="0" borderId="1" xfId="0" applyNumberFormat="1" applyBorder="1"/>
    <xf numFmtId="10" fontId="0" fillId="0" borderId="0" xfId="0" applyNumberForma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/>
    </xf>
    <xf numFmtId="166" fontId="0" fillId="0" borderId="1" xfId="1" applyNumberFormat="1" applyFont="1" applyBorder="1"/>
    <xf numFmtId="166" fontId="0" fillId="0" borderId="1" xfId="0" applyNumberFormat="1" applyBorder="1"/>
    <xf numFmtId="166" fontId="11" fillId="2" borderId="1" xfId="1" applyNumberFormat="1" applyFont="1" applyFill="1" applyBorder="1"/>
    <xf numFmtId="166" fontId="0" fillId="0" borderId="0" xfId="0" applyNumberFormat="1"/>
    <xf numFmtId="166" fontId="0" fillId="0" borderId="0" xfId="1" applyNumberFormat="1" applyFont="1"/>
    <xf numFmtId="166" fontId="0" fillId="2" borderId="1" xfId="0" applyNumberFormat="1" applyFill="1" applyBorder="1"/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10" borderId="1" xfId="0" applyNumberFormat="1" applyFill="1" applyBorder="1"/>
    <xf numFmtId="166" fontId="7" fillId="0" borderId="1" xfId="0" applyNumberFormat="1" applyFont="1" applyBorder="1"/>
    <xf numFmtId="166" fontId="7" fillId="0" borderId="1" xfId="1" applyNumberFormat="1" applyFont="1" applyBorder="1"/>
    <xf numFmtId="166" fontId="0" fillId="3" borderId="1" xfId="0" applyNumberFormat="1" applyFill="1" applyBorder="1"/>
    <xf numFmtId="166" fontId="2" fillId="0" borderId="1" xfId="0" applyNumberFormat="1" applyFont="1" applyBorder="1"/>
    <xf numFmtId="166" fontId="2" fillId="0" borderId="1" xfId="1" applyNumberFormat="1" applyFont="1" applyBorder="1"/>
    <xf numFmtId="166" fontId="2" fillId="10" borderId="1" xfId="0" applyNumberFormat="1" applyFont="1" applyFill="1" applyBorder="1"/>
    <xf numFmtId="166" fontId="8" fillId="6" borderId="1" xfId="3" applyNumberFormat="1" applyFont="1" applyFill="1" applyBorder="1"/>
    <xf numFmtId="166" fontId="0" fillId="10" borderId="0" xfId="0" applyNumberFormat="1" applyFill="1"/>
    <xf numFmtId="166" fontId="0" fillId="4" borderId="1" xfId="0" applyNumberFormat="1" applyFill="1" applyBorder="1"/>
    <xf numFmtId="166" fontId="0" fillId="4" borderId="1" xfId="1" applyNumberFormat="1" applyFont="1" applyFill="1" applyBorder="1"/>
    <xf numFmtId="166" fontId="0" fillId="10" borderId="1" xfId="1" applyNumberFormat="1" applyFont="1" applyFill="1" applyBorder="1"/>
    <xf numFmtId="166" fontId="2" fillId="10" borderId="1" xfId="0" applyNumberFormat="1" applyFon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3" fontId="2" fillId="0" borderId="0" xfId="2" applyFont="1"/>
    <xf numFmtId="44" fontId="0" fillId="0" borderId="0" xfId="1" applyFont="1"/>
    <xf numFmtId="44" fontId="0" fillId="12" borderId="0" xfId="0" applyNumberFormat="1" applyFill="1"/>
    <xf numFmtId="44" fontId="6" fillId="0" borderId="1" xfId="1" applyFont="1" applyBorder="1" applyAlignment="1">
      <alignment horizontal="center" vertical="center" wrapText="1"/>
    </xf>
    <xf numFmtId="44" fontId="2" fillId="0" borderId="1" xfId="1" applyFont="1" applyBorder="1" applyAlignment="1">
      <alignment horizontal="center"/>
    </xf>
    <xf numFmtId="8" fontId="0" fillId="0" borderId="0" xfId="0" applyNumberFormat="1"/>
    <xf numFmtId="8" fontId="0" fillId="0" borderId="1" xfId="0" applyNumberFormat="1" applyBorder="1"/>
    <xf numFmtId="8" fontId="2" fillId="0" borderId="1" xfId="0" applyNumberFormat="1" applyFont="1" applyBorder="1" applyAlignment="1">
      <alignment horizontal="center"/>
    </xf>
    <xf numFmtId="167" fontId="0" fillId="0" borderId="1" xfId="0" applyNumberFormat="1" applyBorder="1"/>
    <xf numFmtId="0" fontId="16" fillId="0" borderId="0" xfId="0" applyFont="1" applyAlignment="1">
      <alignment horizontal="center"/>
    </xf>
    <xf numFmtId="0" fontId="0" fillId="0" borderId="0" xfId="0"/>
    <xf numFmtId="0" fontId="8" fillId="5" borderId="1" xfId="0" applyFont="1" applyFill="1" applyBorder="1" applyAlignment="1">
      <alignment horizontal="center"/>
    </xf>
    <xf numFmtId="0" fontId="0" fillId="0" borderId="5" xfId="0" applyBorder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0" fillId="0" borderId="7" xfId="0" applyBorder="1"/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6" fontId="2" fillId="0" borderId="8" xfId="1" applyNumberFormat="1" applyFont="1" applyBorder="1"/>
    <xf numFmtId="0" fontId="2" fillId="0" borderId="9" xfId="0" applyFont="1" applyBorder="1" applyAlignment="1">
      <alignment horizontal="center"/>
    </xf>
    <xf numFmtId="166" fontId="0" fillId="0" borderId="8" xfId="0" applyNumberFormat="1" applyBorder="1"/>
    <xf numFmtId="0" fontId="0" fillId="0" borderId="8" xfId="0" applyBorder="1"/>
    <xf numFmtId="4" fontId="0" fillId="0" borderId="8" xfId="0" applyNumberFormat="1" applyBorder="1"/>
    <xf numFmtId="166" fontId="0" fillId="4" borderId="8" xfId="0" applyNumberFormat="1" applyFill="1" applyBorder="1"/>
    <xf numFmtId="166" fontId="0" fillId="4" borderId="8" xfId="1" applyNumberFormat="1" applyFont="1" applyFill="1" applyBorder="1"/>
    <xf numFmtId="3" fontId="0" fillId="0" borderId="8" xfId="0" applyNumberFormat="1" applyBorder="1"/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Estructura financiera: % propio vs % externo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CD-41D5-8218-969717D589B3}"/>
              </c:ext>
            </c:extLst>
          </c:dPt>
          <c:dPt>
            <c:idx val="1"/>
            <c:bubble3D val="0"/>
            <c:explosion val="15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CD-41D5-8218-969717D589B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'Inversión inicial'!$B$31:$B$32</c:f>
              <c:strCache>
                <c:ptCount val="2"/>
                <c:pt idx="0">
                  <c:v>Patrimonio propio</c:v>
                </c:pt>
                <c:pt idx="1">
                  <c:v>Recursos ajenos (crédito)</c:v>
                </c:pt>
              </c:strCache>
            </c:strRef>
          </c:cat>
          <c:val>
            <c:numRef>
              <c:f>'Inversión inicial'!$C$31:$C$32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CD-41D5-8218-969717D589B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0.17579098355684611"/>
          <c:y val="0.9177378780091715"/>
          <c:w val="0.6484177950519513"/>
          <c:h val="6.984527170577867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823231</xdr:colOff>
      <xdr:row>32</xdr:row>
      <xdr:rowOff>190498</xdr:rowOff>
    </xdr:from>
    <xdr:ext cx="4204607" cy="30684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topLeftCell="A9" zoomScale="115" zoomScaleNormal="115" workbookViewId="0">
      <selection activeCell="E42" sqref="E42"/>
    </sheetView>
  </sheetViews>
  <sheetFormatPr baseColWidth="10" defaultRowHeight="15" x14ac:dyDescent="0.25"/>
  <cols>
    <col min="1" max="1" width="6.85546875" style="104" customWidth="1"/>
    <col min="2" max="2" width="59" style="107" customWidth="1"/>
    <col min="3" max="3" width="15.140625" style="104" customWidth="1"/>
    <col min="4" max="4" width="13" style="104" customWidth="1"/>
    <col min="6" max="6" width="17.7109375" style="104" customWidth="1"/>
    <col min="7" max="7" width="12.5703125" style="104" bestFit="1" customWidth="1"/>
    <col min="8" max="8" width="18.42578125" style="104" customWidth="1"/>
  </cols>
  <sheetData>
    <row r="2" spans="2:3" ht="18.75" customHeight="1" x14ac:dyDescent="0.3">
      <c r="B2" s="123" t="s">
        <v>0</v>
      </c>
      <c r="C2" s="124"/>
    </row>
    <row r="4" spans="2:3" ht="18.75" customHeight="1" x14ac:dyDescent="0.3">
      <c r="B4" s="125" t="s">
        <v>1</v>
      </c>
      <c r="C4" s="126"/>
    </row>
    <row r="6" spans="2:3" x14ac:dyDescent="0.25">
      <c r="B6" s="43" t="s">
        <v>2</v>
      </c>
      <c r="C6" s="24" t="s">
        <v>3</v>
      </c>
    </row>
    <row r="7" spans="2:3" x14ac:dyDescent="0.25">
      <c r="B7" s="42" t="s">
        <v>4</v>
      </c>
      <c r="C7" s="82">
        <v>250000</v>
      </c>
    </row>
    <row r="8" spans="2:3" x14ac:dyDescent="0.25">
      <c r="B8" s="42" t="s">
        <v>5</v>
      </c>
      <c r="C8" s="83">
        <v>80000</v>
      </c>
    </row>
    <row r="9" spans="2:3" x14ac:dyDescent="0.25">
      <c r="B9" s="42" t="s">
        <v>6</v>
      </c>
      <c r="C9" s="83">
        <v>30000</v>
      </c>
    </row>
    <row r="10" spans="2:3" x14ac:dyDescent="0.25">
      <c r="B10" s="54" t="s">
        <v>7</v>
      </c>
      <c r="C10" s="83">
        <v>20000</v>
      </c>
    </row>
    <row r="11" spans="2:3" x14ac:dyDescent="0.25">
      <c r="B11" s="42" t="s">
        <v>8</v>
      </c>
      <c r="C11" s="83">
        <v>25000</v>
      </c>
    </row>
    <row r="12" spans="2:3" x14ac:dyDescent="0.25">
      <c r="B12" s="42" t="s">
        <v>9</v>
      </c>
      <c r="C12" s="83">
        <v>15000</v>
      </c>
    </row>
    <row r="13" spans="2:3" x14ac:dyDescent="0.25">
      <c r="B13" s="42" t="s">
        <v>10</v>
      </c>
      <c r="C13" s="83">
        <v>30000</v>
      </c>
    </row>
    <row r="14" spans="2:3" x14ac:dyDescent="0.25">
      <c r="B14" s="42" t="s">
        <v>11</v>
      </c>
      <c r="C14" s="83">
        <v>50000</v>
      </c>
    </row>
    <row r="15" spans="2:3" hidden="1" x14ac:dyDescent="0.25">
      <c r="B15" s="42" t="s">
        <v>12</v>
      </c>
      <c r="C15" s="83">
        <v>0</v>
      </c>
    </row>
    <row r="16" spans="2:3" hidden="1" x14ac:dyDescent="0.25">
      <c r="B16" s="45" t="s">
        <v>13</v>
      </c>
      <c r="C16" s="3"/>
    </row>
    <row r="17" spans="2:4" hidden="1" x14ac:dyDescent="0.25">
      <c r="B17" s="42" t="s">
        <v>14</v>
      </c>
      <c r="C17" s="83">
        <v>0</v>
      </c>
    </row>
    <row r="18" spans="2:4" hidden="1" x14ac:dyDescent="0.25">
      <c r="B18" s="42" t="s">
        <v>15</v>
      </c>
      <c r="C18" s="83">
        <v>0</v>
      </c>
    </row>
    <row r="19" spans="2:4" ht="30" hidden="1" customHeight="1" x14ac:dyDescent="0.25">
      <c r="B19" s="42" t="s">
        <v>16</v>
      </c>
      <c r="C19" s="83">
        <v>0</v>
      </c>
    </row>
    <row r="20" spans="2:4" ht="30" hidden="1" customHeight="1" x14ac:dyDescent="0.25">
      <c r="B20" s="42" t="s">
        <v>17</v>
      </c>
      <c r="C20" s="83">
        <v>0</v>
      </c>
    </row>
    <row r="21" spans="2:4" hidden="1" x14ac:dyDescent="0.25">
      <c r="B21" s="42" t="s">
        <v>18</v>
      </c>
      <c r="C21" s="83">
        <v>0</v>
      </c>
    </row>
    <row r="22" spans="2:4" hidden="1" x14ac:dyDescent="0.25">
      <c r="B22" s="45" t="s">
        <v>19</v>
      </c>
      <c r="C22" s="3"/>
    </row>
    <row r="23" spans="2:4" hidden="1" x14ac:dyDescent="0.25">
      <c r="B23" s="42" t="s">
        <v>20</v>
      </c>
      <c r="C23" s="83">
        <v>0</v>
      </c>
    </row>
    <row r="24" spans="2:4" hidden="1" x14ac:dyDescent="0.25">
      <c r="B24" s="42" t="s">
        <v>21</v>
      </c>
      <c r="C24" s="83">
        <v>0</v>
      </c>
    </row>
    <row r="25" spans="2:4" hidden="1" x14ac:dyDescent="0.25">
      <c r="B25" s="42" t="s">
        <v>22</v>
      </c>
      <c r="C25" s="83">
        <v>0</v>
      </c>
    </row>
    <row r="26" spans="2:4" x14ac:dyDescent="0.25">
      <c r="B26" s="44" t="s">
        <v>23</v>
      </c>
      <c r="C26" s="84">
        <f>SUM(C7:C14)</f>
        <v>500000</v>
      </c>
    </row>
    <row r="28" spans="2:4" x14ac:dyDescent="0.25">
      <c r="B28" s="40"/>
    </row>
    <row r="29" spans="2:4" x14ac:dyDescent="0.25">
      <c r="B29" s="127" t="s">
        <v>24</v>
      </c>
      <c r="C29" s="124"/>
      <c r="D29" s="105" t="s">
        <v>25</v>
      </c>
    </row>
    <row r="31" spans="2:4" x14ac:dyDescent="0.25">
      <c r="B31" s="107" t="s">
        <v>26</v>
      </c>
      <c r="C31" s="29">
        <v>0</v>
      </c>
      <c r="D31" s="85">
        <f>C26*C31</f>
        <v>0</v>
      </c>
    </row>
    <row r="32" spans="2:4" x14ac:dyDescent="0.25">
      <c r="B32" s="107" t="s">
        <v>27</v>
      </c>
      <c r="C32" s="29">
        <v>1</v>
      </c>
      <c r="D32" s="85">
        <f>C26*C32</f>
        <v>500000</v>
      </c>
    </row>
  </sheetData>
  <mergeCells count="3">
    <mergeCell ref="B2:C2"/>
    <mergeCell ref="B4:C4"/>
    <mergeCell ref="B29:C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2"/>
  <sheetViews>
    <sheetView zoomScaleNormal="100" workbookViewId="0">
      <selection activeCell="A9" sqref="A9"/>
    </sheetView>
  </sheetViews>
  <sheetFormatPr baseColWidth="10" defaultRowHeight="15" x14ac:dyDescent="0.25"/>
  <cols>
    <col min="1" max="1" width="29.42578125" style="104" customWidth="1"/>
    <col min="2" max="2" width="16.7109375" style="113" customWidth="1"/>
    <col min="3" max="3" width="16.28515625" style="104" customWidth="1"/>
    <col min="4" max="4" width="16" style="104" customWidth="1"/>
    <col min="5" max="5" width="4.28515625" style="104" customWidth="1"/>
  </cols>
  <sheetData>
    <row r="2" spans="1:5" ht="21" customHeight="1" x14ac:dyDescent="0.35">
      <c r="A2" s="9" t="s">
        <v>0</v>
      </c>
    </row>
    <row r="3" spans="1:5" x14ac:dyDescent="0.25">
      <c r="A3" s="4"/>
    </row>
    <row r="4" spans="1:5" x14ac:dyDescent="0.25">
      <c r="A4" s="4" t="s">
        <v>28</v>
      </c>
    </row>
    <row r="5" spans="1:5" ht="36" customHeight="1" x14ac:dyDescent="0.25">
      <c r="A5" s="10" t="s">
        <v>29</v>
      </c>
      <c r="B5" s="11" t="s">
        <v>30</v>
      </c>
      <c r="C5" s="12"/>
      <c r="D5" s="12"/>
      <c r="E5" s="12"/>
    </row>
    <row r="6" spans="1:5" x14ac:dyDescent="0.25">
      <c r="A6" s="1" t="s">
        <v>31</v>
      </c>
      <c r="B6" s="46">
        <v>0</v>
      </c>
      <c r="C6" s="7"/>
      <c r="D6" s="7"/>
    </row>
    <row r="7" spans="1:5" x14ac:dyDescent="0.25">
      <c r="A7" s="1" t="s">
        <v>32</v>
      </c>
      <c r="B7" s="46">
        <v>1</v>
      </c>
      <c r="C7" s="7"/>
      <c r="D7" s="7"/>
    </row>
    <row r="8" spans="1:5" x14ac:dyDescent="0.25">
      <c r="A8" s="1" t="s">
        <v>33</v>
      </c>
      <c r="B8" s="46">
        <v>0</v>
      </c>
      <c r="C8" s="7"/>
      <c r="D8" s="7"/>
      <c r="E8" s="13"/>
    </row>
    <row r="9" spans="1:5" x14ac:dyDescent="0.25">
      <c r="A9" s="1" t="s">
        <v>34</v>
      </c>
      <c r="B9" s="46">
        <v>1</v>
      </c>
      <c r="C9" s="7"/>
      <c r="D9" s="7"/>
      <c r="E9" s="13"/>
    </row>
    <row r="10" spans="1:5" x14ac:dyDescent="0.25">
      <c r="A10" s="1" t="s">
        <v>35</v>
      </c>
      <c r="B10" s="46">
        <v>0</v>
      </c>
      <c r="C10" s="7"/>
      <c r="D10" s="7"/>
      <c r="E10" s="13"/>
    </row>
    <row r="11" spans="1:5" x14ac:dyDescent="0.25">
      <c r="A11" s="1" t="s">
        <v>36</v>
      </c>
      <c r="B11" s="46">
        <v>1</v>
      </c>
      <c r="C11" s="7"/>
      <c r="D11" s="7"/>
      <c r="E11" s="13"/>
    </row>
    <row r="12" spans="1:5" x14ac:dyDescent="0.25">
      <c r="A12" s="1" t="s">
        <v>37</v>
      </c>
      <c r="B12" s="46">
        <v>0</v>
      </c>
      <c r="C12" s="7"/>
      <c r="D12" s="7"/>
      <c r="E12" s="13"/>
    </row>
    <row r="13" spans="1:5" x14ac:dyDescent="0.25">
      <c r="A13" s="1" t="s">
        <v>38</v>
      </c>
      <c r="B13" s="46">
        <v>1</v>
      </c>
      <c r="C13" s="7"/>
      <c r="D13" s="7"/>
      <c r="E13" s="13"/>
    </row>
    <row r="14" spans="1:5" x14ac:dyDescent="0.25">
      <c r="A14" s="1" t="s">
        <v>39</v>
      </c>
      <c r="B14" s="46">
        <v>0</v>
      </c>
      <c r="C14" s="7"/>
      <c r="D14" s="7"/>
      <c r="E14" s="13"/>
    </row>
    <row r="15" spans="1:5" x14ac:dyDescent="0.25">
      <c r="A15" s="1" t="s">
        <v>40</v>
      </c>
      <c r="B15" s="46">
        <v>1</v>
      </c>
      <c r="C15" s="7"/>
      <c r="D15" s="7"/>
      <c r="E15" s="13"/>
    </row>
    <row r="16" spans="1:5" x14ac:dyDescent="0.25">
      <c r="A16" s="1" t="s">
        <v>41</v>
      </c>
      <c r="B16" s="46">
        <v>0</v>
      </c>
      <c r="C16" s="7"/>
      <c r="D16" s="7"/>
      <c r="E16" s="13"/>
    </row>
    <row r="17" spans="1:5" x14ac:dyDescent="0.25">
      <c r="A17" s="1" t="s">
        <v>42</v>
      </c>
      <c r="B17" s="46">
        <v>0</v>
      </c>
      <c r="C17" s="7"/>
      <c r="D17" s="7"/>
      <c r="E17" s="13"/>
    </row>
    <row r="18" spans="1:5" x14ac:dyDescent="0.25">
      <c r="A18" s="5" t="s">
        <v>43</v>
      </c>
      <c r="B18" s="47">
        <f>SUM(B6:B17)</f>
        <v>5</v>
      </c>
      <c r="C18" s="7"/>
      <c r="D18" s="7"/>
      <c r="E18" s="13"/>
    </row>
    <row r="19" spans="1:5" x14ac:dyDescent="0.25">
      <c r="E19" s="14"/>
    </row>
    <row r="20" spans="1:5" x14ac:dyDescent="0.25">
      <c r="A20" s="15" t="s">
        <v>44</v>
      </c>
      <c r="B20" s="48">
        <v>5</v>
      </c>
    </row>
    <row r="21" spans="1:5" x14ac:dyDescent="0.25">
      <c r="C21" s="16"/>
    </row>
    <row r="22" spans="1:5" x14ac:dyDescent="0.25">
      <c r="B22" s="49"/>
    </row>
  </sheetData>
  <pageMargins left="0.7" right="0.7" top="0.75" bottom="0.75" header="0.3" footer="0.3"/>
  <pageSetup orientation="portrait" horizont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tabSelected="1" topLeftCell="A30" zoomScaleNormal="100" workbookViewId="0">
      <selection activeCell="A43" sqref="A43"/>
    </sheetView>
  </sheetViews>
  <sheetFormatPr baseColWidth="10" defaultRowHeight="15" x14ac:dyDescent="0.25"/>
  <cols>
    <col min="1" max="1" width="38.140625" style="107" customWidth="1"/>
    <col min="2" max="2" width="28.28515625" style="104" customWidth="1"/>
    <col min="3" max="3" width="28.42578125" style="104" customWidth="1"/>
    <col min="4" max="4" width="22.140625" style="104" customWidth="1"/>
    <col min="5" max="5" width="19.85546875" style="104" customWidth="1"/>
    <col min="6" max="6" width="20.28515625" style="104" customWidth="1"/>
    <col min="7" max="7" width="29" style="104" customWidth="1"/>
    <col min="8" max="8" width="21.42578125" style="104" customWidth="1"/>
    <col min="9" max="9" width="26.85546875" style="104" bestFit="1" customWidth="1"/>
    <col min="11" max="12" width="19.5703125" style="104" customWidth="1"/>
  </cols>
  <sheetData>
    <row r="1" spans="1:9" x14ac:dyDescent="0.25">
      <c r="A1" s="40" t="s">
        <v>45</v>
      </c>
      <c r="B1" s="4"/>
      <c r="C1" s="4"/>
      <c r="G1" s="25"/>
      <c r="H1" s="114"/>
    </row>
    <row r="2" spans="1:9" x14ac:dyDescent="0.25">
      <c r="A2" s="40"/>
      <c r="B2" s="4"/>
      <c r="C2" s="4"/>
      <c r="G2" s="4"/>
    </row>
    <row r="3" spans="1:9" x14ac:dyDescent="0.25">
      <c r="A3" s="40" t="s">
        <v>0</v>
      </c>
      <c r="B3" s="4"/>
      <c r="C3" s="4"/>
      <c r="G3" s="105"/>
      <c r="H3" s="105"/>
    </row>
    <row r="4" spans="1:9" x14ac:dyDescent="0.25">
      <c r="A4" s="40"/>
      <c r="B4" s="4"/>
      <c r="C4" s="4"/>
      <c r="G4" s="113"/>
    </row>
    <row r="5" spans="1:9" x14ac:dyDescent="0.25">
      <c r="A5" s="50" t="s">
        <v>46</v>
      </c>
      <c r="B5" s="51" t="s">
        <v>47</v>
      </c>
      <c r="F5" s="113"/>
    </row>
    <row r="6" spans="1:9" ht="30" customHeight="1" x14ac:dyDescent="0.25">
      <c r="A6" s="41" t="s">
        <v>48</v>
      </c>
      <c r="B6" s="83">
        <f>'Costos y precio de venta'!B71</f>
        <v>25500</v>
      </c>
      <c r="F6" s="113"/>
    </row>
    <row r="7" spans="1:9" x14ac:dyDescent="0.25">
      <c r="A7" s="108"/>
      <c r="B7" s="7"/>
      <c r="C7" s="7"/>
      <c r="E7" s="113"/>
      <c r="F7" s="7"/>
      <c r="G7" s="113"/>
    </row>
    <row r="8" spans="1:9" ht="30" customHeight="1" x14ac:dyDescent="0.25">
      <c r="A8" s="40" t="s">
        <v>49</v>
      </c>
      <c r="F8" s="7"/>
      <c r="G8" s="113"/>
    </row>
    <row r="9" spans="1:9" x14ac:dyDescent="0.25">
      <c r="A9" s="40"/>
      <c r="F9" s="7"/>
      <c r="G9" s="113"/>
    </row>
    <row r="10" spans="1:9" ht="17.25" customHeight="1" x14ac:dyDescent="0.25">
      <c r="A10" s="52" t="s">
        <v>50</v>
      </c>
      <c r="B10" s="53" t="s">
        <v>51</v>
      </c>
      <c r="C10" s="7"/>
      <c r="D10" s="113"/>
    </row>
    <row r="11" spans="1:9" x14ac:dyDescent="0.25">
      <c r="A11" s="41" t="s">
        <v>52</v>
      </c>
      <c r="B11" s="6">
        <v>5</v>
      </c>
      <c r="C11" s="7"/>
      <c r="D11" s="113"/>
    </row>
    <row r="12" spans="1:9" x14ac:dyDescent="0.25">
      <c r="A12" s="19" t="s">
        <v>53</v>
      </c>
      <c r="B12" s="6">
        <f>SUM(B11:B11)</f>
        <v>5</v>
      </c>
      <c r="C12" s="7"/>
      <c r="D12" s="7"/>
      <c r="E12" s="8"/>
    </row>
    <row r="13" spans="1:9" x14ac:dyDescent="0.25">
      <c r="A13" s="108"/>
      <c r="B13" s="7"/>
      <c r="C13" s="7"/>
      <c r="E13" s="105"/>
      <c r="F13" s="8"/>
      <c r="G13" s="8"/>
      <c r="H13" s="8"/>
      <c r="I13" s="8"/>
    </row>
    <row r="14" spans="1:9" ht="30" customHeight="1" x14ac:dyDescent="0.25">
      <c r="A14" s="40" t="s">
        <v>54</v>
      </c>
    </row>
    <row r="16" spans="1:9" x14ac:dyDescent="0.25">
      <c r="A16" s="52" t="s">
        <v>55</v>
      </c>
      <c r="B16" s="53" t="s">
        <v>56</v>
      </c>
    </row>
    <row r="17" spans="1:6" x14ac:dyDescent="0.25">
      <c r="A17" s="41" t="s">
        <v>57</v>
      </c>
      <c r="B17" s="83">
        <f>B6*B12</f>
        <v>127500</v>
      </c>
    </row>
    <row r="18" spans="1:6" x14ac:dyDescent="0.25">
      <c r="A18" s="41" t="s">
        <v>53</v>
      </c>
      <c r="B18" s="83">
        <f>SUM(B17:B17)</f>
        <v>127500</v>
      </c>
    </row>
    <row r="19" spans="1:6" x14ac:dyDescent="0.25">
      <c r="F19" s="105"/>
    </row>
    <row r="20" spans="1:6" x14ac:dyDescent="0.25">
      <c r="A20" s="52" t="s">
        <v>58</v>
      </c>
      <c r="B20" s="53" t="s">
        <v>59</v>
      </c>
      <c r="C20" s="53" t="s">
        <v>60</v>
      </c>
      <c r="D20" s="105"/>
    </row>
    <row r="21" spans="1:6" ht="30" customHeight="1" x14ac:dyDescent="0.25">
      <c r="A21" s="41" t="s">
        <v>61</v>
      </c>
      <c r="B21" s="83">
        <f>'Costos y precio de venta'!B74</f>
        <v>4500</v>
      </c>
      <c r="C21" s="83">
        <f>'Costos y precio de venta'!B73</f>
        <v>500</v>
      </c>
      <c r="D21" s="26"/>
    </row>
    <row r="23" spans="1:6" ht="30" customHeight="1" x14ac:dyDescent="0.25">
      <c r="A23" s="40" t="s">
        <v>62</v>
      </c>
    </row>
    <row r="25" spans="1:6" x14ac:dyDescent="0.25">
      <c r="A25" s="19" t="s">
        <v>50</v>
      </c>
      <c r="B25" s="5" t="s">
        <v>63</v>
      </c>
    </row>
    <row r="26" spans="1:6" ht="30" customHeight="1" x14ac:dyDescent="0.25">
      <c r="A26" s="42" t="s">
        <v>64</v>
      </c>
      <c r="B26" s="83">
        <f>'Costos y precio de venta'!B10</f>
        <v>240000</v>
      </c>
    </row>
    <row r="27" spans="1:6" x14ac:dyDescent="0.25">
      <c r="A27" s="42" t="s">
        <v>65</v>
      </c>
      <c r="B27" s="83">
        <f>'Costos y precio de venta'!B11</f>
        <v>60000</v>
      </c>
    </row>
    <row r="28" spans="1:6" x14ac:dyDescent="0.25">
      <c r="A28" s="19" t="s">
        <v>53</v>
      </c>
      <c r="B28" s="83">
        <f>SUM(B26:B27)</f>
        <v>300000</v>
      </c>
    </row>
    <row r="30" spans="1:6" ht="45" customHeight="1" x14ac:dyDescent="0.25">
      <c r="A30" s="40" t="s">
        <v>66</v>
      </c>
    </row>
    <row r="32" spans="1:6" x14ac:dyDescent="0.25">
      <c r="A32" s="19" t="s">
        <v>50</v>
      </c>
      <c r="B32" s="5" t="s">
        <v>63</v>
      </c>
    </row>
    <row r="33" spans="1:2" ht="30" customHeight="1" x14ac:dyDescent="0.25">
      <c r="A33" s="42" t="s">
        <v>67</v>
      </c>
      <c r="B33" s="83">
        <f>'Costos y precio de venta'!B27</f>
        <v>360000</v>
      </c>
    </row>
    <row r="34" spans="1:2" x14ac:dyDescent="0.25">
      <c r="A34" s="42" t="s">
        <v>68</v>
      </c>
      <c r="B34" s="83">
        <f>'Costos y precio de venta'!B28</f>
        <v>30000</v>
      </c>
    </row>
    <row r="35" spans="1:2" x14ac:dyDescent="0.25">
      <c r="A35" s="42" t="s">
        <v>69</v>
      </c>
      <c r="B35" s="83">
        <f>'Costos y precio de venta'!B29</f>
        <v>18000</v>
      </c>
    </row>
    <row r="36" spans="1:2" ht="30" customHeight="1" x14ac:dyDescent="0.25">
      <c r="A36" s="42" t="s">
        <v>70</v>
      </c>
      <c r="B36" s="83">
        <f>'Costos y precio de venta'!B30</f>
        <v>6000</v>
      </c>
    </row>
    <row r="37" spans="1:2" x14ac:dyDescent="0.25">
      <c r="A37" s="42" t="s">
        <v>71</v>
      </c>
      <c r="B37" s="83">
        <f>'Costos y precio de venta'!B31</f>
        <v>18000</v>
      </c>
    </row>
    <row r="38" spans="1:2" x14ac:dyDescent="0.25">
      <c r="A38" s="42" t="s">
        <v>72</v>
      </c>
      <c r="B38" s="83">
        <f>'Costos y precio de venta'!B32</f>
        <v>36000</v>
      </c>
    </row>
    <row r="39" spans="1:2" x14ac:dyDescent="0.25">
      <c r="A39" s="42" t="s">
        <v>73</v>
      </c>
      <c r="B39" s="83">
        <f>'Costos y precio de venta'!B33</f>
        <v>12000</v>
      </c>
    </row>
    <row r="40" spans="1:2" x14ac:dyDescent="0.25">
      <c r="A40" s="19" t="s">
        <v>53</v>
      </c>
      <c r="B40" s="83">
        <f>SUM(B33:B39)</f>
        <v>480000</v>
      </c>
    </row>
    <row r="42" spans="1:2" ht="30" customHeight="1" x14ac:dyDescent="0.25">
      <c r="A42" s="107" t="s">
        <v>74</v>
      </c>
    </row>
    <row r="43" spans="1:2" ht="45" customHeight="1" x14ac:dyDescent="0.25">
      <c r="A43" s="107" t="s">
        <v>75</v>
      </c>
    </row>
    <row r="45" spans="1:2" ht="45" customHeight="1" x14ac:dyDescent="0.25">
      <c r="A45" s="107" t="s">
        <v>76</v>
      </c>
      <c r="B45" s="85">
        <f>Amortización!B10*12</f>
        <v>131955.64424922239</v>
      </c>
    </row>
  </sheetData>
  <pageMargins left="0.7" right="0.7" top="0.75" bottom="0.75" header="0.3" footer="0.3"/>
  <pageSetup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"/>
  <sheetViews>
    <sheetView topLeftCell="A63" workbookViewId="0">
      <selection activeCell="B74" sqref="B74"/>
    </sheetView>
  </sheetViews>
  <sheetFormatPr baseColWidth="10" defaultRowHeight="15" x14ac:dyDescent="0.25"/>
  <cols>
    <col min="1" max="1" width="41.85546875" style="107" customWidth="1"/>
    <col min="2" max="2" width="17.85546875" style="104" customWidth="1"/>
    <col min="3" max="3" width="18.140625" style="104" customWidth="1"/>
  </cols>
  <sheetData>
    <row r="1" spans="1:4" ht="30" customHeight="1" x14ac:dyDescent="0.25">
      <c r="A1" s="40" t="s">
        <v>77</v>
      </c>
    </row>
    <row r="3" spans="1:4" ht="15.75" customHeight="1" x14ac:dyDescent="0.25">
      <c r="A3" s="128" t="s">
        <v>78</v>
      </c>
      <c r="B3" s="124"/>
      <c r="C3" s="124"/>
      <c r="D3" s="124"/>
    </row>
    <row r="4" spans="1:4" ht="15.75" customHeight="1" x14ac:dyDescent="0.25">
      <c r="A4" s="129"/>
      <c r="B4" s="124"/>
      <c r="C4" s="124"/>
      <c r="D4" s="124"/>
    </row>
    <row r="5" spans="1:4" ht="15.75" customHeight="1" x14ac:dyDescent="0.25">
      <c r="A5" s="129"/>
      <c r="B5" s="124"/>
      <c r="C5" s="124"/>
      <c r="D5" s="124"/>
    </row>
    <row r="6" spans="1:4" ht="15.75" customHeight="1" x14ac:dyDescent="0.25">
      <c r="A6" s="106"/>
      <c r="B6" s="106"/>
      <c r="C6" s="106"/>
      <c r="D6" s="106"/>
    </row>
    <row r="7" spans="1:4" x14ac:dyDescent="0.25">
      <c r="A7" s="40" t="s">
        <v>79</v>
      </c>
    </row>
    <row r="9" spans="1:4" x14ac:dyDescent="0.25">
      <c r="A9" s="19" t="s">
        <v>50</v>
      </c>
      <c r="B9" s="5" t="s">
        <v>63</v>
      </c>
    </row>
    <row r="10" spans="1:4" ht="30" customHeight="1" x14ac:dyDescent="0.25">
      <c r="A10" s="42" t="s">
        <v>80</v>
      </c>
      <c r="B10" s="82">
        <v>240000</v>
      </c>
    </row>
    <row r="11" spans="1:4" x14ac:dyDescent="0.25">
      <c r="A11" s="42" t="s">
        <v>65</v>
      </c>
      <c r="B11" s="83">
        <v>60000</v>
      </c>
    </row>
    <row r="12" spans="1:4" x14ac:dyDescent="0.25">
      <c r="A12" s="42" t="s">
        <v>81</v>
      </c>
      <c r="B12" s="83">
        <v>7000</v>
      </c>
    </row>
    <row r="13" spans="1:4" x14ac:dyDescent="0.25">
      <c r="A13" s="42" t="s">
        <v>82</v>
      </c>
      <c r="B13" s="83">
        <v>500</v>
      </c>
    </row>
    <row r="14" spans="1:4" x14ac:dyDescent="0.25">
      <c r="A14" s="42" t="s">
        <v>83</v>
      </c>
      <c r="B14" s="83">
        <v>1000</v>
      </c>
    </row>
    <row r="15" spans="1:4" x14ac:dyDescent="0.25">
      <c r="A15" s="42" t="s">
        <v>84</v>
      </c>
      <c r="B15" s="83">
        <v>240</v>
      </c>
    </row>
    <row r="16" spans="1:4" x14ac:dyDescent="0.25">
      <c r="A16" s="42" t="s">
        <v>85</v>
      </c>
      <c r="B16" s="83">
        <v>1500</v>
      </c>
    </row>
    <row r="17" spans="1:2" x14ac:dyDescent="0.25">
      <c r="A17" s="42" t="s">
        <v>86</v>
      </c>
      <c r="B17" s="83">
        <v>150</v>
      </c>
    </row>
    <row r="18" spans="1:2" x14ac:dyDescent="0.25">
      <c r="A18" s="42" t="s">
        <v>87</v>
      </c>
      <c r="B18" s="83">
        <v>500</v>
      </c>
    </row>
    <row r="19" spans="1:2" x14ac:dyDescent="0.25">
      <c r="A19" s="42" t="s">
        <v>88</v>
      </c>
      <c r="B19" s="83">
        <v>500</v>
      </c>
    </row>
    <row r="20" spans="1:2" x14ac:dyDescent="0.25">
      <c r="A20" s="42" t="s">
        <v>89</v>
      </c>
      <c r="B20" s="83">
        <v>3000</v>
      </c>
    </row>
    <row r="21" spans="1:2" x14ac:dyDescent="0.25">
      <c r="A21" s="42" t="s">
        <v>90</v>
      </c>
      <c r="B21" s="83">
        <v>5000</v>
      </c>
    </row>
    <row r="22" spans="1:2" x14ac:dyDescent="0.25">
      <c r="A22" s="19" t="s">
        <v>53</v>
      </c>
      <c r="B22" s="82">
        <f>SUM(B10:B11)</f>
        <v>300000</v>
      </c>
    </row>
    <row r="24" spans="1:2" x14ac:dyDescent="0.25">
      <c r="A24" s="40" t="s">
        <v>91</v>
      </c>
    </row>
    <row r="26" spans="1:2" x14ac:dyDescent="0.25">
      <c r="A26" s="19" t="s">
        <v>50</v>
      </c>
      <c r="B26" s="5" t="s">
        <v>63</v>
      </c>
    </row>
    <row r="27" spans="1:2" ht="30" customHeight="1" x14ac:dyDescent="0.25">
      <c r="A27" s="42" t="s">
        <v>92</v>
      </c>
      <c r="B27" s="82">
        <v>360000</v>
      </c>
    </row>
    <row r="28" spans="1:2" x14ac:dyDescent="0.25">
      <c r="A28" s="42" t="s">
        <v>93</v>
      </c>
      <c r="B28" s="83">
        <v>30000</v>
      </c>
    </row>
    <row r="29" spans="1:2" x14ac:dyDescent="0.25">
      <c r="A29" s="42" t="s">
        <v>69</v>
      </c>
      <c r="B29" s="83">
        <v>18000</v>
      </c>
    </row>
    <row r="30" spans="1:2" ht="30" customHeight="1" x14ac:dyDescent="0.25">
      <c r="A30" s="42" t="s">
        <v>70</v>
      </c>
      <c r="B30" s="83">
        <v>6000</v>
      </c>
    </row>
    <row r="31" spans="1:2" x14ac:dyDescent="0.25">
      <c r="A31" s="42" t="s">
        <v>71</v>
      </c>
      <c r="B31" s="83">
        <v>18000</v>
      </c>
    </row>
    <row r="32" spans="1:2" x14ac:dyDescent="0.25">
      <c r="A32" s="42" t="s">
        <v>72</v>
      </c>
      <c r="B32" s="83">
        <v>36000</v>
      </c>
    </row>
    <row r="33" spans="1:2" x14ac:dyDescent="0.25">
      <c r="A33" s="42" t="s">
        <v>73</v>
      </c>
      <c r="B33" s="83">
        <v>12000</v>
      </c>
    </row>
    <row r="34" spans="1:2" x14ac:dyDescent="0.25">
      <c r="A34" s="42" t="s">
        <v>94</v>
      </c>
      <c r="B34" s="83">
        <v>350</v>
      </c>
    </row>
    <row r="35" spans="1:2" x14ac:dyDescent="0.25">
      <c r="A35" s="42" t="s">
        <v>88</v>
      </c>
      <c r="B35" s="83">
        <v>500</v>
      </c>
    </row>
    <row r="36" spans="1:2" x14ac:dyDescent="0.25">
      <c r="A36" s="19" t="s">
        <v>53</v>
      </c>
      <c r="B36" s="82">
        <f>SUM(B27:B33)</f>
        <v>480000</v>
      </c>
    </row>
    <row r="38" spans="1:2" x14ac:dyDescent="0.25">
      <c r="A38" s="110" t="s">
        <v>95</v>
      </c>
      <c r="B38" s="86">
        <f>B22+B36</f>
        <v>780000</v>
      </c>
    </row>
    <row r="40" spans="1:2" x14ac:dyDescent="0.25">
      <c r="A40" s="107" t="s">
        <v>96</v>
      </c>
      <c r="B40" s="86">
        <v>600000</v>
      </c>
    </row>
    <row r="41" spans="1:2" x14ac:dyDescent="0.25">
      <c r="A41" s="40" t="s">
        <v>97</v>
      </c>
      <c r="B41" s="86">
        <f>B38-B40</f>
        <v>180000</v>
      </c>
    </row>
    <row r="42" spans="1:2" x14ac:dyDescent="0.25">
      <c r="B42" s="115"/>
    </row>
    <row r="43" spans="1:2" ht="30" customHeight="1" x14ac:dyDescent="0.25">
      <c r="A43" s="42" t="s">
        <v>98</v>
      </c>
      <c r="B43" s="82">
        <v>12450</v>
      </c>
    </row>
    <row r="44" spans="1:2" ht="30" customHeight="1" x14ac:dyDescent="0.25">
      <c r="A44" s="42" t="s">
        <v>99</v>
      </c>
      <c r="B44" s="82">
        <v>5750</v>
      </c>
    </row>
    <row r="45" spans="1:2" ht="30" customHeight="1" x14ac:dyDescent="0.25">
      <c r="A45" s="44" t="s">
        <v>100</v>
      </c>
      <c r="B45" s="82">
        <f>SUM(B43:B44)</f>
        <v>18200</v>
      </c>
    </row>
    <row r="48" spans="1:2" x14ac:dyDescent="0.25">
      <c r="A48" s="40" t="s">
        <v>101</v>
      </c>
    </row>
    <row r="49" spans="1:2" x14ac:dyDescent="0.25">
      <c r="A49" s="40"/>
    </row>
    <row r="50" spans="1:2" x14ac:dyDescent="0.25">
      <c r="A50" s="40" t="s">
        <v>102</v>
      </c>
    </row>
    <row r="51" spans="1:2" x14ac:dyDescent="0.25">
      <c r="A51" s="42" t="s">
        <v>103</v>
      </c>
      <c r="B51" s="83">
        <f>B38</f>
        <v>780000</v>
      </c>
    </row>
    <row r="52" spans="1:2" x14ac:dyDescent="0.25">
      <c r="A52" s="42" t="s">
        <v>104</v>
      </c>
      <c r="B52" s="83">
        <f>B45</f>
        <v>18200</v>
      </c>
    </row>
    <row r="53" spans="1:2" ht="30" customHeight="1" x14ac:dyDescent="0.25">
      <c r="A53" s="42" t="s">
        <v>105</v>
      </c>
      <c r="B53" s="6">
        <f>'Presupuesto de operación'!B12</f>
        <v>5</v>
      </c>
    </row>
    <row r="54" spans="1:2" x14ac:dyDescent="0.25">
      <c r="A54" s="42" t="s">
        <v>106</v>
      </c>
      <c r="B54" s="30">
        <v>0.4</v>
      </c>
    </row>
    <row r="57" spans="1:2" x14ac:dyDescent="0.25">
      <c r="A57" s="59" t="s">
        <v>107</v>
      </c>
    </row>
    <row r="59" spans="1:2" x14ac:dyDescent="0.25">
      <c r="A59" s="56" t="s">
        <v>108</v>
      </c>
      <c r="B59" t="s">
        <v>109</v>
      </c>
    </row>
    <row r="60" spans="1:2" x14ac:dyDescent="0.25">
      <c r="A60" s="56"/>
    </row>
    <row r="61" spans="1:2" x14ac:dyDescent="0.25">
      <c r="A61" s="56" t="s">
        <v>108</v>
      </c>
      <c r="B61" s="87">
        <f>B52+(B51/B53)</f>
        <v>174200</v>
      </c>
    </row>
    <row r="62" spans="1:2" x14ac:dyDescent="0.25">
      <c r="A62" s="56"/>
    </row>
    <row r="63" spans="1:2" ht="135" customHeight="1" x14ac:dyDescent="0.25">
      <c r="A63" s="107" t="s">
        <v>110</v>
      </c>
    </row>
    <row r="64" spans="1:2" x14ac:dyDescent="0.25">
      <c r="A64" s="55" t="s">
        <v>111</v>
      </c>
    </row>
    <row r="66" spans="1:5" x14ac:dyDescent="0.25">
      <c r="A66" s="56" t="s">
        <v>112</v>
      </c>
      <c r="B66" t="s">
        <v>113</v>
      </c>
    </row>
    <row r="68" spans="1:5" x14ac:dyDescent="0.25">
      <c r="A68" s="56" t="s">
        <v>112</v>
      </c>
      <c r="B68" s="87">
        <f>B61/(1-B54)</f>
        <v>290333.33333333337</v>
      </c>
    </row>
    <row r="70" spans="1:5" x14ac:dyDescent="0.25">
      <c r="A70" s="56"/>
    </row>
    <row r="71" spans="1:5" ht="30" customHeight="1" x14ac:dyDescent="0.25">
      <c r="A71" s="57" t="s">
        <v>114</v>
      </c>
      <c r="B71" s="85">
        <v>25500</v>
      </c>
      <c r="C71" s="130" t="s">
        <v>115</v>
      </c>
      <c r="D71" s="124"/>
      <c r="E71" s="124"/>
    </row>
    <row r="72" spans="1:5" x14ac:dyDescent="0.25">
      <c r="A72" s="56"/>
    </row>
    <row r="73" spans="1:5" ht="30" customHeight="1" x14ac:dyDescent="0.25">
      <c r="A73" s="107" t="s">
        <v>116</v>
      </c>
      <c r="B73" s="85">
        <v>500</v>
      </c>
    </row>
    <row r="74" spans="1:5" ht="30" customHeight="1" x14ac:dyDescent="0.25">
      <c r="A74" s="57" t="s">
        <v>117</v>
      </c>
      <c r="B74" s="85">
        <v>4500</v>
      </c>
    </row>
    <row r="75" spans="1:5" x14ac:dyDescent="0.25">
      <c r="A75" s="107" t="s">
        <v>118</v>
      </c>
      <c r="B75" s="85">
        <f>B74-B73</f>
        <v>4000</v>
      </c>
    </row>
    <row r="76" spans="1:5" x14ac:dyDescent="0.25">
      <c r="A76" s="56"/>
    </row>
    <row r="78" spans="1:5" x14ac:dyDescent="0.25">
      <c r="A78" s="56"/>
    </row>
    <row r="80" spans="1:5" x14ac:dyDescent="0.25">
      <c r="A80" s="56"/>
    </row>
  </sheetData>
  <mergeCells count="2">
    <mergeCell ref="A3:D5"/>
    <mergeCell ref="C71:E71"/>
  </mergeCells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16"/>
  <sheetViews>
    <sheetView topLeftCell="B1" workbookViewId="0">
      <selection activeCell="I22" sqref="I22"/>
    </sheetView>
  </sheetViews>
  <sheetFormatPr baseColWidth="10" defaultRowHeight="15" x14ac:dyDescent="0.25"/>
  <cols>
    <col min="2" max="2" width="32.42578125" style="63" customWidth="1"/>
    <col min="3" max="3" width="14.28515625" style="104" customWidth="1"/>
    <col min="4" max="4" width="13" style="104" customWidth="1"/>
    <col min="5" max="5" width="12.5703125" style="104" bestFit="1" customWidth="1"/>
    <col min="6" max="13" width="13" style="104" customWidth="1"/>
    <col min="14" max="14" width="14.5703125" style="104" customWidth="1"/>
    <col min="15" max="15" width="14.140625" style="104" bestFit="1" customWidth="1"/>
  </cols>
  <sheetData>
    <row r="1" spans="2:15" ht="45" customHeight="1" x14ac:dyDescent="0.25">
      <c r="B1" s="60" t="s">
        <v>119</v>
      </c>
    </row>
    <row r="2" spans="2:15" x14ac:dyDescent="0.25">
      <c r="B2" s="58"/>
    </row>
    <row r="3" spans="2:15" x14ac:dyDescent="0.25">
      <c r="B3" s="61" t="s">
        <v>50</v>
      </c>
      <c r="C3" s="18" t="s">
        <v>120</v>
      </c>
      <c r="D3" s="17" t="s">
        <v>121</v>
      </c>
      <c r="E3" s="17" t="s">
        <v>122</v>
      </c>
      <c r="F3" s="17" t="s">
        <v>123</v>
      </c>
      <c r="G3" s="17" t="s">
        <v>124</v>
      </c>
      <c r="H3" s="17" t="s">
        <v>125</v>
      </c>
      <c r="I3" s="17" t="s">
        <v>126</v>
      </c>
      <c r="J3" s="17" t="s">
        <v>127</v>
      </c>
      <c r="K3" s="17" t="s">
        <v>128</v>
      </c>
      <c r="L3" s="17" t="s">
        <v>129</v>
      </c>
      <c r="M3" s="17" t="s">
        <v>130</v>
      </c>
      <c r="N3" s="17" t="s">
        <v>131</v>
      </c>
      <c r="O3" s="5" t="s">
        <v>53</v>
      </c>
    </row>
    <row r="4" spans="2:15" ht="30" customHeight="1" x14ac:dyDescent="0.25">
      <c r="B4" s="62" t="s">
        <v>132</v>
      </c>
      <c r="C4" s="64">
        <f>' Proyeccion de ventas en unidad'!B6</f>
        <v>0</v>
      </c>
      <c r="D4" s="64">
        <f>' Proyeccion de ventas en unidad'!B7</f>
        <v>1</v>
      </c>
      <c r="E4" s="64">
        <f>' Proyeccion de ventas en unidad'!B8</f>
        <v>0</v>
      </c>
      <c r="F4" s="64">
        <f>' Proyeccion de ventas en unidad'!B9</f>
        <v>1</v>
      </c>
      <c r="G4" s="64">
        <f>' Proyeccion de ventas en unidad'!B10</f>
        <v>0</v>
      </c>
      <c r="H4" s="64">
        <f>' Proyeccion de ventas en unidad'!B11</f>
        <v>1</v>
      </c>
      <c r="I4" s="64">
        <f>' Proyeccion de ventas en unidad'!B12</f>
        <v>0</v>
      </c>
      <c r="J4" s="64">
        <f>' Proyeccion de ventas en unidad'!B13</f>
        <v>1</v>
      </c>
      <c r="K4" s="64">
        <f>' Proyeccion de ventas en unidad'!B14</f>
        <v>0</v>
      </c>
      <c r="L4" s="64">
        <f>' Proyeccion de ventas en unidad'!B15</f>
        <v>1</v>
      </c>
      <c r="M4" s="64">
        <f>' Proyeccion de ventas en unidad'!B16</f>
        <v>0</v>
      </c>
      <c r="N4" s="64">
        <f>' Proyeccion de ventas en unidad'!B17</f>
        <v>0</v>
      </c>
      <c r="O4" s="65">
        <f>SUM(C4:N4)</f>
        <v>5</v>
      </c>
    </row>
    <row r="5" spans="2:15" x14ac:dyDescent="0.25">
      <c r="B5" s="61" t="s">
        <v>133</v>
      </c>
      <c r="C5" s="66">
        <f>C4</f>
        <v>0</v>
      </c>
      <c r="D5" s="66">
        <f t="shared" ref="D5:N5" si="0">C5+D4</f>
        <v>1</v>
      </c>
      <c r="E5" s="66">
        <f t="shared" si="0"/>
        <v>1</v>
      </c>
      <c r="F5" s="66">
        <f t="shared" si="0"/>
        <v>2</v>
      </c>
      <c r="G5" s="66">
        <f t="shared" si="0"/>
        <v>2</v>
      </c>
      <c r="H5" s="66">
        <f t="shared" si="0"/>
        <v>3</v>
      </c>
      <c r="I5" s="66">
        <f t="shared" si="0"/>
        <v>3</v>
      </c>
      <c r="J5" s="66">
        <f t="shared" si="0"/>
        <v>4</v>
      </c>
      <c r="K5" s="66">
        <f t="shared" si="0"/>
        <v>4</v>
      </c>
      <c r="L5" s="66">
        <f t="shared" si="0"/>
        <v>5</v>
      </c>
      <c r="M5" s="66">
        <f t="shared" si="0"/>
        <v>5</v>
      </c>
      <c r="N5" s="66">
        <f t="shared" si="0"/>
        <v>5</v>
      </c>
      <c r="O5" s="67"/>
    </row>
    <row r="6" spans="2:15" x14ac:dyDescent="0.25">
      <c r="B6" s="61" t="s">
        <v>134</v>
      </c>
      <c r="C6" s="88">
        <f>'Costos y precio de venta'!$B$71</f>
        <v>25500</v>
      </c>
      <c r="D6" s="88">
        <f>'Costos y precio de venta'!$B$71</f>
        <v>25500</v>
      </c>
      <c r="E6" s="88">
        <f>'Costos y precio de venta'!$B$71</f>
        <v>25500</v>
      </c>
      <c r="F6" s="88">
        <f>'Costos y precio de venta'!$B$71</f>
        <v>25500</v>
      </c>
      <c r="G6" s="88">
        <f>'Costos y precio de venta'!$B$71</f>
        <v>25500</v>
      </c>
      <c r="H6" s="88">
        <f>'Costos y precio de venta'!$B$71</f>
        <v>25500</v>
      </c>
      <c r="I6" s="88">
        <f>'Costos y precio de venta'!$B$71</f>
        <v>25500</v>
      </c>
      <c r="J6" s="88">
        <f>'Costos y precio de venta'!$B$71</f>
        <v>25500</v>
      </c>
      <c r="K6" s="88">
        <f>'Costos y precio de venta'!$B$71</f>
        <v>25500</v>
      </c>
      <c r="L6" s="88">
        <f>'Costos y precio de venta'!$B$71</f>
        <v>25500</v>
      </c>
      <c r="M6" s="88">
        <f>'Costos y precio de venta'!$B$71</f>
        <v>25500</v>
      </c>
      <c r="N6" s="88">
        <f>'Costos y precio de venta'!$B$71</f>
        <v>25500</v>
      </c>
      <c r="O6" s="88">
        <f>SUM(C6:N6)</f>
        <v>306000</v>
      </c>
    </row>
    <row r="7" spans="2:15" x14ac:dyDescent="0.25">
      <c r="B7" s="61" t="s">
        <v>135</v>
      </c>
      <c r="C7" s="88">
        <f t="shared" ref="C7:N7" si="1">C4*C6</f>
        <v>0</v>
      </c>
      <c r="D7" s="88">
        <f t="shared" si="1"/>
        <v>25500</v>
      </c>
      <c r="E7" s="88">
        <f t="shared" si="1"/>
        <v>0</v>
      </c>
      <c r="F7" s="88">
        <f t="shared" si="1"/>
        <v>25500</v>
      </c>
      <c r="G7" s="88">
        <f t="shared" si="1"/>
        <v>0</v>
      </c>
      <c r="H7" s="88">
        <f t="shared" si="1"/>
        <v>25500</v>
      </c>
      <c r="I7" s="88">
        <f t="shared" si="1"/>
        <v>0</v>
      </c>
      <c r="J7" s="88">
        <f t="shared" si="1"/>
        <v>25500</v>
      </c>
      <c r="K7" s="88">
        <f t="shared" si="1"/>
        <v>0</v>
      </c>
      <c r="L7" s="88">
        <f t="shared" si="1"/>
        <v>25500</v>
      </c>
      <c r="M7" s="88">
        <f t="shared" si="1"/>
        <v>0</v>
      </c>
      <c r="N7" s="88">
        <f t="shared" si="1"/>
        <v>0</v>
      </c>
      <c r="O7" s="88">
        <f>SUM(C7:N7)</f>
        <v>127500</v>
      </c>
    </row>
    <row r="8" spans="2:15" x14ac:dyDescent="0.25">
      <c r="B8" s="61" t="s">
        <v>136</v>
      </c>
      <c r="C8" s="89">
        <f>'Costos y precio de venta'!$B$74</f>
        <v>4500</v>
      </c>
      <c r="D8" s="89">
        <f>'Costos y precio de venta'!$B$74</f>
        <v>4500</v>
      </c>
      <c r="E8" s="89">
        <f>'Costos y precio de venta'!$B$74</f>
        <v>4500</v>
      </c>
      <c r="F8" s="89">
        <f>'Costos y precio de venta'!$B$74</f>
        <v>4500</v>
      </c>
      <c r="G8" s="89">
        <f>'Costos y precio de venta'!$B$74</f>
        <v>4500</v>
      </c>
      <c r="H8" s="89">
        <f>'Costos y precio de venta'!$B$74</f>
        <v>4500</v>
      </c>
      <c r="I8" s="89">
        <f>'Costos y precio de venta'!$B$74</f>
        <v>4500</v>
      </c>
      <c r="J8" s="89">
        <f>'Costos y precio de venta'!$B$74</f>
        <v>4500</v>
      </c>
      <c r="K8" s="89">
        <f>'Costos y precio de venta'!$B$74</f>
        <v>4500</v>
      </c>
      <c r="L8" s="89">
        <f>'Costos y precio de venta'!$B$74</f>
        <v>4500</v>
      </c>
      <c r="M8" s="89">
        <f>'Costos y precio de venta'!$B$74</f>
        <v>4500</v>
      </c>
      <c r="N8" s="89">
        <f>'Costos y precio de venta'!$B$74</f>
        <v>4500</v>
      </c>
      <c r="O8" s="67"/>
    </row>
    <row r="9" spans="2:15" x14ac:dyDescent="0.25">
      <c r="B9" s="61" t="s">
        <v>137</v>
      </c>
      <c r="C9" s="88">
        <f t="shared" ref="C9:N9" si="2">C5*C8</f>
        <v>0</v>
      </c>
      <c r="D9" s="88">
        <f t="shared" si="2"/>
        <v>4500</v>
      </c>
      <c r="E9" s="88">
        <f t="shared" si="2"/>
        <v>4500</v>
      </c>
      <c r="F9" s="88">
        <f t="shared" si="2"/>
        <v>9000</v>
      </c>
      <c r="G9" s="88">
        <f t="shared" si="2"/>
        <v>9000</v>
      </c>
      <c r="H9" s="88">
        <f t="shared" si="2"/>
        <v>13500</v>
      </c>
      <c r="I9" s="88">
        <f t="shared" si="2"/>
        <v>13500</v>
      </c>
      <c r="J9" s="88">
        <f t="shared" si="2"/>
        <v>18000</v>
      </c>
      <c r="K9" s="88">
        <f t="shared" si="2"/>
        <v>18000</v>
      </c>
      <c r="L9" s="88">
        <f t="shared" si="2"/>
        <v>22500</v>
      </c>
      <c r="M9" s="88">
        <f t="shared" si="2"/>
        <v>22500</v>
      </c>
      <c r="N9" s="88">
        <f t="shared" si="2"/>
        <v>22500</v>
      </c>
      <c r="O9" s="88">
        <f>SUM(C9:N9)</f>
        <v>157500</v>
      </c>
    </row>
    <row r="10" spans="2:15" x14ac:dyDescent="0.25">
      <c r="B10" s="61" t="s">
        <v>138</v>
      </c>
      <c r="C10" s="88">
        <f t="shared" ref="C10:N10" si="3">C7+C9</f>
        <v>0</v>
      </c>
      <c r="D10" s="88">
        <f t="shared" si="3"/>
        <v>30000</v>
      </c>
      <c r="E10" s="88">
        <f t="shared" si="3"/>
        <v>4500</v>
      </c>
      <c r="F10" s="88">
        <f t="shared" si="3"/>
        <v>34500</v>
      </c>
      <c r="G10" s="88">
        <f t="shared" si="3"/>
        <v>9000</v>
      </c>
      <c r="H10" s="88">
        <f t="shared" si="3"/>
        <v>39000</v>
      </c>
      <c r="I10" s="88">
        <f t="shared" si="3"/>
        <v>13500</v>
      </c>
      <c r="J10" s="88">
        <f t="shared" si="3"/>
        <v>43500</v>
      </c>
      <c r="K10" s="88">
        <f t="shared" si="3"/>
        <v>18000</v>
      </c>
      <c r="L10" s="88">
        <f t="shared" si="3"/>
        <v>48000</v>
      </c>
      <c r="M10" s="88">
        <f t="shared" si="3"/>
        <v>22500</v>
      </c>
      <c r="N10" s="88">
        <f t="shared" si="3"/>
        <v>22500</v>
      </c>
      <c r="O10" s="88">
        <f>SUM(C10:N10)</f>
        <v>285000</v>
      </c>
    </row>
    <row r="11" spans="2:15" x14ac:dyDescent="0.25">
      <c r="B11" s="68"/>
      <c r="C11" s="69"/>
      <c r="D11" s="69"/>
      <c r="E11" s="69"/>
      <c r="F11" s="69"/>
      <c r="G11" s="69"/>
      <c r="H11" s="69"/>
      <c r="I11" s="116"/>
      <c r="J11" s="69"/>
      <c r="K11" s="69"/>
      <c r="L11" s="69"/>
      <c r="M11" s="69"/>
      <c r="N11" s="69"/>
      <c r="O11" s="69"/>
    </row>
    <row r="12" spans="2:15" x14ac:dyDescent="0.25">
      <c r="B12" s="61" t="s">
        <v>139</v>
      </c>
      <c r="C12" s="88">
        <f>'Costos y precio de venta'!$B$45</f>
        <v>18200</v>
      </c>
      <c r="D12" s="88">
        <f>'Costos y precio de venta'!$B$45</f>
        <v>18200</v>
      </c>
      <c r="E12" s="88">
        <f>'Costos y precio de venta'!$B$45</f>
        <v>18200</v>
      </c>
      <c r="F12" s="88">
        <f>'Costos y precio de venta'!$B$45</f>
        <v>18200</v>
      </c>
      <c r="G12" s="88">
        <f>'Costos y precio de venta'!$B$45</f>
        <v>18200</v>
      </c>
      <c r="H12" s="88">
        <f>'Costos y precio de venta'!$B$45</f>
        <v>18200</v>
      </c>
      <c r="I12" s="88">
        <f>'Costos y precio de venta'!$B$45</f>
        <v>18200</v>
      </c>
      <c r="J12" s="88">
        <f>'Costos y precio de venta'!$B$45</f>
        <v>18200</v>
      </c>
      <c r="K12" s="88">
        <f>'Costos y precio de venta'!$B$45</f>
        <v>18200</v>
      </c>
      <c r="L12" s="88">
        <f>'Costos y precio de venta'!$B$45</f>
        <v>18200</v>
      </c>
      <c r="M12" s="88">
        <f>'Costos y precio de venta'!$B$45</f>
        <v>18200</v>
      </c>
      <c r="N12" s="88">
        <f>'Costos y precio de venta'!$B$45</f>
        <v>18200</v>
      </c>
      <c r="O12" s="67"/>
    </row>
    <row r="13" spans="2:15" x14ac:dyDescent="0.25">
      <c r="B13" s="61" t="s">
        <v>140</v>
      </c>
      <c r="C13" s="88">
        <f t="shared" ref="C13:N13" si="4">C4*C12</f>
        <v>0</v>
      </c>
      <c r="D13" s="88">
        <f t="shared" si="4"/>
        <v>18200</v>
      </c>
      <c r="E13" s="88">
        <f t="shared" si="4"/>
        <v>0</v>
      </c>
      <c r="F13" s="88">
        <f t="shared" si="4"/>
        <v>18200</v>
      </c>
      <c r="G13" s="88">
        <f t="shared" si="4"/>
        <v>0</v>
      </c>
      <c r="H13" s="88">
        <f t="shared" si="4"/>
        <v>18200</v>
      </c>
      <c r="I13" s="88">
        <f t="shared" si="4"/>
        <v>0</v>
      </c>
      <c r="J13" s="88">
        <f t="shared" si="4"/>
        <v>18200</v>
      </c>
      <c r="K13" s="88">
        <f t="shared" si="4"/>
        <v>0</v>
      </c>
      <c r="L13" s="88">
        <f t="shared" si="4"/>
        <v>18200</v>
      </c>
      <c r="M13" s="88">
        <f t="shared" si="4"/>
        <v>0</v>
      </c>
      <c r="N13" s="88">
        <f t="shared" si="4"/>
        <v>0</v>
      </c>
      <c r="O13" s="88">
        <f>SUM(C13:N13)</f>
        <v>91000</v>
      </c>
    </row>
    <row r="14" spans="2:15" ht="30" customHeight="1" x14ac:dyDescent="0.25">
      <c r="B14" s="61" t="s">
        <v>141</v>
      </c>
      <c r="C14" s="88">
        <f>'Costos y precio de venta'!$B$73</f>
        <v>500</v>
      </c>
      <c r="D14" s="88">
        <f>'Costos y precio de venta'!$B$73</f>
        <v>500</v>
      </c>
      <c r="E14" s="88">
        <f>'Costos y precio de venta'!$B$73</f>
        <v>500</v>
      </c>
      <c r="F14" s="88">
        <f>'Costos y precio de venta'!$B$73</f>
        <v>500</v>
      </c>
      <c r="G14" s="88">
        <f>'Costos y precio de venta'!$B$73</f>
        <v>500</v>
      </c>
      <c r="H14" s="88">
        <f>'Costos y precio de venta'!$B$73</f>
        <v>500</v>
      </c>
      <c r="I14" s="88">
        <f>'Costos y precio de venta'!$B$73</f>
        <v>500</v>
      </c>
      <c r="J14" s="88">
        <f>'Costos y precio de venta'!$B$73</f>
        <v>500</v>
      </c>
      <c r="K14" s="88">
        <f>'Costos y precio de venta'!$B$73</f>
        <v>500</v>
      </c>
      <c r="L14" s="88">
        <f>'Costos y precio de venta'!$B$73</f>
        <v>500</v>
      </c>
      <c r="M14" s="88">
        <f>'Costos y precio de venta'!$B$73</f>
        <v>500</v>
      </c>
      <c r="N14" s="88">
        <f>'Costos y precio de venta'!$B$73</f>
        <v>500</v>
      </c>
      <c r="O14" s="67"/>
    </row>
    <row r="15" spans="2:15" x14ac:dyDescent="0.25">
      <c r="B15" s="61" t="s">
        <v>142</v>
      </c>
      <c r="C15" s="88">
        <f t="shared" ref="C15:N15" si="5">C5*C14</f>
        <v>0</v>
      </c>
      <c r="D15" s="88">
        <f t="shared" si="5"/>
        <v>500</v>
      </c>
      <c r="E15" s="88">
        <f t="shared" si="5"/>
        <v>500</v>
      </c>
      <c r="F15" s="88">
        <f t="shared" si="5"/>
        <v>1000</v>
      </c>
      <c r="G15" s="88">
        <f t="shared" si="5"/>
        <v>1000</v>
      </c>
      <c r="H15" s="88">
        <f t="shared" si="5"/>
        <v>1500</v>
      </c>
      <c r="I15" s="88">
        <f t="shared" si="5"/>
        <v>1500</v>
      </c>
      <c r="J15" s="88">
        <f t="shared" si="5"/>
        <v>2000</v>
      </c>
      <c r="K15" s="88">
        <f t="shared" si="5"/>
        <v>2000</v>
      </c>
      <c r="L15" s="88">
        <f t="shared" si="5"/>
        <v>2500</v>
      </c>
      <c r="M15" s="88">
        <f t="shared" si="5"/>
        <v>2500</v>
      </c>
      <c r="N15" s="88">
        <f t="shared" si="5"/>
        <v>2500</v>
      </c>
      <c r="O15" s="88">
        <f>SUM(C15:N15)</f>
        <v>17500</v>
      </c>
    </row>
    <row r="16" spans="2:15" x14ac:dyDescent="0.25">
      <c r="B16" s="61" t="s">
        <v>143</v>
      </c>
      <c r="C16" s="88">
        <f t="shared" ref="C16:N16" si="6">C13+C15</f>
        <v>0</v>
      </c>
      <c r="D16" s="88">
        <f t="shared" si="6"/>
        <v>18700</v>
      </c>
      <c r="E16" s="88">
        <f t="shared" si="6"/>
        <v>500</v>
      </c>
      <c r="F16" s="88">
        <f t="shared" si="6"/>
        <v>19200</v>
      </c>
      <c r="G16" s="88">
        <f t="shared" si="6"/>
        <v>1000</v>
      </c>
      <c r="H16" s="88">
        <f t="shared" si="6"/>
        <v>19700</v>
      </c>
      <c r="I16" s="88">
        <f t="shared" si="6"/>
        <v>1500</v>
      </c>
      <c r="J16" s="88">
        <f t="shared" si="6"/>
        <v>20200</v>
      </c>
      <c r="K16" s="88">
        <f t="shared" si="6"/>
        <v>2000</v>
      </c>
      <c r="L16" s="88">
        <f t="shared" si="6"/>
        <v>20700</v>
      </c>
      <c r="M16" s="88">
        <f t="shared" si="6"/>
        <v>2500</v>
      </c>
      <c r="N16" s="88">
        <f t="shared" si="6"/>
        <v>2500</v>
      </c>
      <c r="O16" s="88">
        <f>SUM(C16:N16)</f>
        <v>108500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Y50"/>
  <sheetViews>
    <sheetView topLeftCell="B1" zoomScale="85" zoomScaleNormal="85" workbookViewId="0">
      <selection activeCell="S18" sqref="S18"/>
    </sheetView>
  </sheetViews>
  <sheetFormatPr baseColWidth="10" defaultRowHeight="15" x14ac:dyDescent="0.25"/>
  <cols>
    <col min="1" max="1" width="40.7109375" style="109" customWidth="1"/>
    <col min="2" max="2" width="15.140625" style="104" customWidth="1"/>
    <col min="3" max="3" width="13.28515625" style="104" customWidth="1"/>
    <col min="4" max="4" width="14.28515625" style="104" customWidth="1"/>
    <col min="5" max="5" width="12.5703125" style="104" bestFit="1" customWidth="1"/>
    <col min="6" max="6" width="17.85546875" style="104" customWidth="1"/>
    <col min="7" max="7" width="14.140625" style="104" customWidth="1"/>
    <col min="8" max="8" width="12.5703125" style="104" bestFit="1" customWidth="1"/>
    <col min="9" max="10" width="13" style="104" customWidth="1"/>
    <col min="11" max="11" width="14.140625" style="104" customWidth="1"/>
    <col min="12" max="12" width="14.85546875" style="104" customWidth="1"/>
    <col min="13" max="13" width="15.28515625" style="104" customWidth="1"/>
    <col min="14" max="14" width="16.85546875" style="104" customWidth="1"/>
    <col min="15" max="15" width="20.5703125" style="104" customWidth="1"/>
    <col min="16" max="16" width="17.42578125" style="104" customWidth="1"/>
    <col min="17" max="17" width="16.28515625" style="104" customWidth="1"/>
    <col min="18" max="18" width="15.42578125" style="104" customWidth="1"/>
    <col min="19" max="19" width="16.42578125" style="104" customWidth="1"/>
    <col min="20" max="22" width="13" style="104" customWidth="1"/>
    <col min="25" max="25" width="18.28515625" style="104" customWidth="1"/>
  </cols>
  <sheetData>
    <row r="2" spans="1:22" x14ac:dyDescent="0.25">
      <c r="A2" s="70" t="s">
        <v>0</v>
      </c>
    </row>
    <row r="4" spans="1:22" ht="70.5" customHeight="1" x14ac:dyDescent="0.25">
      <c r="A4" s="71" t="s">
        <v>144</v>
      </c>
      <c r="B4" s="19" t="s">
        <v>145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117" t="s">
        <v>146</v>
      </c>
      <c r="P4" s="117" t="s">
        <v>147</v>
      </c>
      <c r="Q4" s="117" t="s">
        <v>148</v>
      </c>
      <c r="R4" s="117" t="s">
        <v>149</v>
      </c>
      <c r="S4" s="27" t="s">
        <v>150</v>
      </c>
      <c r="T4" s="42"/>
      <c r="U4" s="42"/>
      <c r="V4" s="76" t="s">
        <v>151</v>
      </c>
    </row>
    <row r="5" spans="1:22" x14ac:dyDescent="0.25">
      <c r="A5" s="74"/>
      <c r="B5" s="5" t="s">
        <v>120</v>
      </c>
      <c r="C5" s="5" t="s">
        <v>121</v>
      </c>
      <c r="D5" s="5" t="s">
        <v>122</v>
      </c>
      <c r="E5" s="5" t="s">
        <v>123</v>
      </c>
      <c r="F5" s="5" t="s">
        <v>124</v>
      </c>
      <c r="G5" s="5" t="s">
        <v>125</v>
      </c>
      <c r="H5" s="5" t="s">
        <v>126</v>
      </c>
      <c r="I5" s="5" t="s">
        <v>127</v>
      </c>
      <c r="J5" s="5" t="s">
        <v>128</v>
      </c>
      <c r="K5" s="5" t="s">
        <v>129</v>
      </c>
      <c r="L5" s="5" t="s">
        <v>130</v>
      </c>
      <c r="M5" s="5" t="s">
        <v>131</v>
      </c>
      <c r="N5" s="5" t="s">
        <v>152</v>
      </c>
      <c r="O5" s="118" t="s">
        <v>153</v>
      </c>
      <c r="P5" s="118" t="s">
        <v>154</v>
      </c>
      <c r="Q5" s="118" t="s">
        <v>155</v>
      </c>
      <c r="R5" s="118" t="s">
        <v>156</v>
      </c>
      <c r="S5" s="32" t="s">
        <v>157</v>
      </c>
      <c r="T5" s="32" t="s">
        <v>158</v>
      </c>
      <c r="U5" s="32" t="s">
        <v>159</v>
      </c>
      <c r="V5" s="1"/>
    </row>
    <row r="6" spans="1:22" x14ac:dyDescent="0.25">
      <c r="A6" s="71" t="s">
        <v>160</v>
      </c>
      <c r="B6" s="82">
        <f>'Ventas presupuestadas en $'!C10</f>
        <v>0</v>
      </c>
      <c r="C6" s="82">
        <f>'Ventas presupuestadas en $'!D10</f>
        <v>30000</v>
      </c>
      <c r="D6" s="82">
        <f>'Ventas presupuestadas en $'!E10</f>
        <v>4500</v>
      </c>
      <c r="E6" s="82">
        <f>'Ventas presupuestadas en $'!F10</f>
        <v>34500</v>
      </c>
      <c r="F6" s="82">
        <f>'Ventas presupuestadas en $'!G10</f>
        <v>9000</v>
      </c>
      <c r="G6" s="82">
        <f>'Ventas presupuestadas en $'!H10</f>
        <v>39000</v>
      </c>
      <c r="H6" s="82">
        <f>'Ventas presupuestadas en $'!I10</f>
        <v>13500</v>
      </c>
      <c r="I6" s="82">
        <f>'Ventas presupuestadas en $'!J10</f>
        <v>43500</v>
      </c>
      <c r="J6" s="82">
        <f>'Ventas presupuestadas en $'!K10</f>
        <v>18000</v>
      </c>
      <c r="K6" s="82">
        <f>'Ventas presupuestadas en $'!L10</f>
        <v>48000</v>
      </c>
      <c r="L6" s="82">
        <f>'Ventas presupuestadas en $'!M10</f>
        <v>22500</v>
      </c>
      <c r="M6" s="82">
        <f>'Ventas presupuestadas en $'!N10</f>
        <v>22500</v>
      </c>
      <c r="N6" s="82">
        <f>SUM(B6:M6)</f>
        <v>285000</v>
      </c>
      <c r="O6" s="82">
        <f>((B23+C23)/2)*'Costos y precio de venta'!$B$74*12+D23*'Costos y precio de venta'!$B$71</f>
        <v>637500</v>
      </c>
      <c r="P6" s="82">
        <f>((B24+C24)/2)*'Costos y precio de venta'!$B$74*12+D24*'Costos y precio de venta'!$B$71</f>
        <v>1068000</v>
      </c>
      <c r="Q6" s="83">
        <f>((B25+C25)/2)*'Costos y precio de venta'!$B$74*12+D25*'Costos y precio de venta'!$B$71</f>
        <v>1605000</v>
      </c>
      <c r="R6" s="83">
        <f>((B26+C26)/2)*'Costos y precio de venta'!$B$74*12+D26*'Costos y precio de venta'!$B$71</f>
        <v>2407500</v>
      </c>
      <c r="S6" s="90">
        <f>((B27+C27)/2)*'Costos y precio de venta'!$B$74*12+D27*'Costos y precio de venta'!$B$71</f>
        <v>3637500</v>
      </c>
      <c r="T6" s="90">
        <f>((B28+C28)/2)*'Costos y precio de venta'!$B$74*12+D28*'Costos y precio de venta'!$B$71</f>
        <v>5457000</v>
      </c>
      <c r="U6" s="90">
        <f>((B29+C29)/2)*'Costos y precio de venta'!$B$74*12+D29*'Costos y precio de venta'!$B$71</f>
        <v>8185500</v>
      </c>
      <c r="V6" s="83">
        <f>SUM(N6:U6)</f>
        <v>23283000</v>
      </c>
    </row>
    <row r="7" spans="1:22" ht="17.25" customHeight="1" x14ac:dyDescent="0.4">
      <c r="A7" s="72" t="s">
        <v>161</v>
      </c>
      <c r="B7" s="91">
        <f>'Ventas presupuestadas en $'!C16</f>
        <v>0</v>
      </c>
      <c r="C7" s="91">
        <f>'Ventas presupuestadas en $'!D16</f>
        <v>18700</v>
      </c>
      <c r="D7" s="91">
        <f>'Ventas presupuestadas en $'!E16</f>
        <v>500</v>
      </c>
      <c r="E7" s="91">
        <f>'Ventas presupuestadas en $'!F16</f>
        <v>19200</v>
      </c>
      <c r="F7" s="91">
        <f>'Ventas presupuestadas en $'!G16</f>
        <v>1000</v>
      </c>
      <c r="G7" s="91">
        <f>'Ventas presupuestadas en $'!H16</f>
        <v>19700</v>
      </c>
      <c r="H7" s="91">
        <f>'Ventas presupuestadas en $'!I16</f>
        <v>1500</v>
      </c>
      <c r="I7" s="91">
        <f>'Ventas presupuestadas en $'!J16</f>
        <v>20200</v>
      </c>
      <c r="J7" s="91">
        <f>'Ventas presupuestadas en $'!K16</f>
        <v>2000</v>
      </c>
      <c r="K7" s="91">
        <f>'Ventas presupuestadas en $'!L16</f>
        <v>20700</v>
      </c>
      <c r="L7" s="91">
        <f>'Ventas presupuestadas en $'!M16</f>
        <v>2500</v>
      </c>
      <c r="M7" s="91">
        <f>'Ventas presupuestadas en $'!N16</f>
        <v>2500</v>
      </c>
      <c r="N7" s="82">
        <f>SUM(B7:M7)</f>
        <v>108500</v>
      </c>
      <c r="O7" s="82">
        <f>((B23+C23)/2)*'Costos y precio de venta'!$B$73*12+D23*'Costos y precio de venta'!$B$45</f>
        <v>178400</v>
      </c>
      <c r="P7" s="92">
        <f>((B24+C24)/2)*'Costos y precio de venta'!$B$73*12+D24*'Costos y precio de venta'!$B$45</f>
        <v>241600</v>
      </c>
      <c r="Q7" s="91">
        <f>((B25+C25)/2)*'Costos y precio de venta'!$B$73*12+D25*'Costos y precio de venta'!$B$45</f>
        <v>332000</v>
      </c>
      <c r="R7" s="91">
        <f>((B26+C26)/2)*'Costos y precio de venta'!$B$73*12+D26*'Costos y precio de venta'!$B$45</f>
        <v>498000</v>
      </c>
      <c r="S7" s="90">
        <f>((B27+C27)/2)*'Costos y precio de venta'!$B$73*12+D27*'Costos y precio de venta'!$B$45</f>
        <v>757600</v>
      </c>
      <c r="T7" s="90">
        <f>((B28+C28)/2)*'Costos y precio de venta'!$B$73*12+D28*'Costos y precio de venta'!$B$45</f>
        <v>1128800</v>
      </c>
      <c r="U7" s="90">
        <f>((B29+C29)/2)*'Costos y precio de venta'!$B$73*12+D29*'Costos y precio de venta'!$B$45</f>
        <v>1693200</v>
      </c>
      <c r="V7" s="83">
        <f>SUM(N7:U7)</f>
        <v>4938100</v>
      </c>
    </row>
    <row r="8" spans="1:22" x14ac:dyDescent="0.25">
      <c r="A8" s="71" t="s">
        <v>162</v>
      </c>
      <c r="B8" s="82">
        <f t="shared" ref="B8:V8" si="0">B6-B7</f>
        <v>0</v>
      </c>
      <c r="C8" s="82">
        <f t="shared" si="0"/>
        <v>11300</v>
      </c>
      <c r="D8" s="82">
        <f t="shared" si="0"/>
        <v>4000</v>
      </c>
      <c r="E8" s="82">
        <f t="shared" si="0"/>
        <v>15300</v>
      </c>
      <c r="F8" s="82">
        <f t="shared" si="0"/>
        <v>8000</v>
      </c>
      <c r="G8" s="82">
        <f t="shared" si="0"/>
        <v>19300</v>
      </c>
      <c r="H8" s="82">
        <f t="shared" si="0"/>
        <v>12000</v>
      </c>
      <c r="I8" s="82">
        <f t="shared" si="0"/>
        <v>23300</v>
      </c>
      <c r="J8" s="82">
        <f t="shared" si="0"/>
        <v>16000</v>
      </c>
      <c r="K8" s="82">
        <f t="shared" si="0"/>
        <v>27300</v>
      </c>
      <c r="L8" s="82">
        <f t="shared" si="0"/>
        <v>20000</v>
      </c>
      <c r="M8" s="82">
        <f t="shared" si="0"/>
        <v>20000</v>
      </c>
      <c r="N8" s="82">
        <f t="shared" si="0"/>
        <v>176500</v>
      </c>
      <c r="O8" s="82">
        <f t="shared" si="0"/>
        <v>459100</v>
      </c>
      <c r="P8" s="82">
        <f t="shared" si="0"/>
        <v>826400</v>
      </c>
      <c r="Q8" s="83">
        <f t="shared" si="0"/>
        <v>1273000</v>
      </c>
      <c r="R8" s="83">
        <f t="shared" si="0"/>
        <v>1909500</v>
      </c>
      <c r="S8" s="90">
        <f t="shared" si="0"/>
        <v>2879900</v>
      </c>
      <c r="T8" s="90">
        <f t="shared" si="0"/>
        <v>4328200</v>
      </c>
      <c r="U8" s="90">
        <f t="shared" si="0"/>
        <v>6492300</v>
      </c>
      <c r="V8" s="83">
        <f t="shared" si="0"/>
        <v>18344900</v>
      </c>
    </row>
    <row r="9" spans="1:22" ht="30" customHeight="1" x14ac:dyDescent="0.25">
      <c r="A9" s="72" t="s">
        <v>163</v>
      </c>
      <c r="B9" s="93">
        <f t="shared" ref="B9:M9" si="1">($B$33/12)*$B$38</f>
        <v>25000</v>
      </c>
      <c r="C9" s="93">
        <f t="shared" si="1"/>
        <v>25000</v>
      </c>
      <c r="D9" s="93">
        <f t="shared" si="1"/>
        <v>25000</v>
      </c>
      <c r="E9" s="93">
        <f t="shared" si="1"/>
        <v>25000</v>
      </c>
      <c r="F9" s="93">
        <f t="shared" si="1"/>
        <v>25000</v>
      </c>
      <c r="G9" s="93">
        <f t="shared" si="1"/>
        <v>25000</v>
      </c>
      <c r="H9" s="93">
        <f t="shared" si="1"/>
        <v>25000</v>
      </c>
      <c r="I9" s="93">
        <f t="shared" si="1"/>
        <v>25000</v>
      </c>
      <c r="J9" s="93">
        <f t="shared" si="1"/>
        <v>25000</v>
      </c>
      <c r="K9" s="93">
        <f t="shared" si="1"/>
        <v>25000</v>
      </c>
      <c r="L9" s="93">
        <f t="shared" si="1"/>
        <v>25000</v>
      </c>
      <c r="M9" s="93">
        <f t="shared" si="1"/>
        <v>25000</v>
      </c>
      <c r="N9" s="82">
        <f>SUM(B9:M9)</f>
        <v>300000</v>
      </c>
      <c r="O9" s="82">
        <f>$B$33*(1+$B$31)^1*$B$39</f>
        <v>313500</v>
      </c>
      <c r="P9" s="82">
        <f>$B$33*(1+$B$31)^2*$B$40</f>
        <v>655214.99999999988</v>
      </c>
      <c r="Q9" s="82">
        <f>$B$33*(1+$B$31)^3*$B$41</f>
        <v>684699.67499999993</v>
      </c>
      <c r="R9" s="82">
        <f>$B$33*(1+$B$31)^4*$B$42</f>
        <v>715511.16037499974</v>
      </c>
      <c r="S9" s="90">
        <f>$B$33*(1+$B$31)^5*$B$43</f>
        <v>747709.16259187472</v>
      </c>
      <c r="T9" s="90">
        <f>$B$33*(1+$B$31)^6*$B$44</f>
        <v>781356.0749085088</v>
      </c>
      <c r="U9" s="90">
        <f>$B$33*(1+$B$31)^7*$B$45</f>
        <v>816517.09827939176</v>
      </c>
      <c r="V9" s="83">
        <f>SUM(N9:U9)</f>
        <v>5014508.1711547747</v>
      </c>
    </row>
    <row r="10" spans="1:22" ht="30" customHeight="1" x14ac:dyDescent="0.25">
      <c r="A10" s="72" t="s">
        <v>164</v>
      </c>
      <c r="B10" s="93">
        <f t="shared" ref="B10:M10" si="2">$B$34/12</f>
        <v>15000</v>
      </c>
      <c r="C10" s="93">
        <f t="shared" si="2"/>
        <v>15000</v>
      </c>
      <c r="D10" s="93">
        <f t="shared" si="2"/>
        <v>15000</v>
      </c>
      <c r="E10" s="93">
        <f t="shared" si="2"/>
        <v>15000</v>
      </c>
      <c r="F10" s="93">
        <f t="shared" si="2"/>
        <v>15000</v>
      </c>
      <c r="G10" s="93">
        <f t="shared" si="2"/>
        <v>15000</v>
      </c>
      <c r="H10" s="93">
        <f t="shared" si="2"/>
        <v>15000</v>
      </c>
      <c r="I10" s="93">
        <f t="shared" si="2"/>
        <v>15000</v>
      </c>
      <c r="J10" s="93">
        <f t="shared" si="2"/>
        <v>15000</v>
      </c>
      <c r="K10" s="93">
        <f t="shared" si="2"/>
        <v>15000</v>
      </c>
      <c r="L10" s="93">
        <f t="shared" si="2"/>
        <v>15000</v>
      </c>
      <c r="M10" s="93">
        <f t="shared" si="2"/>
        <v>15000</v>
      </c>
      <c r="N10" s="82">
        <f>SUM(B10:M10)</f>
        <v>180000</v>
      </c>
      <c r="O10" s="82">
        <f>$B$34*(1+$B$31)^1</f>
        <v>188100</v>
      </c>
      <c r="P10" s="82">
        <f>$B$34*(1+$B$31)^2</f>
        <v>196564.49999999997</v>
      </c>
      <c r="Q10" s="82">
        <f>$B$34*(1+$B$31)^3</f>
        <v>205409.90249999997</v>
      </c>
      <c r="R10" s="82">
        <f>$B$34*(1+$B$31)^4</f>
        <v>214653.34811249989</v>
      </c>
      <c r="S10" s="90">
        <f>$B$34*(1+$B$31)^5</f>
        <v>224312.7487775624</v>
      </c>
      <c r="T10" s="90">
        <f>$B$34*(1+$B$31)^6</f>
        <v>234406.82247255265</v>
      </c>
      <c r="U10" s="90">
        <f>$B$34*(1+$B$31)^7</f>
        <v>244955.12948381755</v>
      </c>
      <c r="V10" s="83">
        <f>SUM(N10:U10)</f>
        <v>1688402.4513464328</v>
      </c>
    </row>
    <row r="11" spans="1:22" x14ac:dyDescent="0.25">
      <c r="A11" s="71" t="s">
        <v>165</v>
      </c>
      <c r="B11" s="94">
        <f t="shared" ref="B11:V11" si="3">SUM(B9:B10)</f>
        <v>40000</v>
      </c>
      <c r="C11" s="94">
        <f t="shared" si="3"/>
        <v>40000</v>
      </c>
      <c r="D11" s="94">
        <f t="shared" si="3"/>
        <v>40000</v>
      </c>
      <c r="E11" s="94">
        <f t="shared" si="3"/>
        <v>40000</v>
      </c>
      <c r="F11" s="94">
        <f t="shared" si="3"/>
        <v>40000</v>
      </c>
      <c r="G11" s="94">
        <f t="shared" si="3"/>
        <v>40000</v>
      </c>
      <c r="H11" s="94">
        <f t="shared" si="3"/>
        <v>40000</v>
      </c>
      <c r="I11" s="94">
        <f t="shared" si="3"/>
        <v>40000</v>
      </c>
      <c r="J11" s="94">
        <f t="shared" si="3"/>
        <v>40000</v>
      </c>
      <c r="K11" s="94">
        <f t="shared" si="3"/>
        <v>40000</v>
      </c>
      <c r="L11" s="94">
        <f t="shared" si="3"/>
        <v>40000</v>
      </c>
      <c r="M11" s="94">
        <f t="shared" si="3"/>
        <v>40000</v>
      </c>
      <c r="N11" s="82">
        <f t="shared" si="3"/>
        <v>480000</v>
      </c>
      <c r="O11" s="95">
        <f t="shared" si="3"/>
        <v>501600</v>
      </c>
      <c r="P11" s="95">
        <f t="shared" si="3"/>
        <v>851779.49999999988</v>
      </c>
      <c r="Q11" s="95">
        <f t="shared" si="3"/>
        <v>890109.5774999999</v>
      </c>
      <c r="R11" s="95">
        <f t="shared" si="3"/>
        <v>930164.50848749967</v>
      </c>
      <c r="S11" s="96">
        <f t="shared" si="3"/>
        <v>972021.91136943712</v>
      </c>
      <c r="T11" s="90">
        <f t="shared" si="3"/>
        <v>1015762.8973810615</v>
      </c>
      <c r="U11" s="90">
        <f t="shared" si="3"/>
        <v>1061472.2277632093</v>
      </c>
      <c r="V11" s="83">
        <f t="shared" si="3"/>
        <v>6702910.6225012075</v>
      </c>
    </row>
    <row r="12" spans="1:22" ht="17.25" customHeight="1" x14ac:dyDescent="0.25">
      <c r="A12" s="71" t="s">
        <v>166</v>
      </c>
      <c r="B12" s="83">
        <f t="shared" ref="B12:V12" si="4">B8-B11</f>
        <v>-40000</v>
      </c>
      <c r="C12" s="83">
        <f t="shared" si="4"/>
        <v>-28700</v>
      </c>
      <c r="D12" s="83">
        <f t="shared" si="4"/>
        <v>-36000</v>
      </c>
      <c r="E12" s="83">
        <f t="shared" si="4"/>
        <v>-24700</v>
      </c>
      <c r="F12" s="83">
        <f t="shared" si="4"/>
        <v>-32000</v>
      </c>
      <c r="G12" s="83">
        <f t="shared" si="4"/>
        <v>-20700</v>
      </c>
      <c r="H12" s="83">
        <f t="shared" si="4"/>
        <v>-28000</v>
      </c>
      <c r="I12" s="83">
        <f t="shared" si="4"/>
        <v>-16700</v>
      </c>
      <c r="J12" s="83">
        <f t="shared" si="4"/>
        <v>-24000</v>
      </c>
      <c r="K12" s="83">
        <f t="shared" si="4"/>
        <v>-12700</v>
      </c>
      <c r="L12" s="83">
        <f t="shared" si="4"/>
        <v>-20000</v>
      </c>
      <c r="M12" s="83">
        <f t="shared" si="4"/>
        <v>-20000</v>
      </c>
      <c r="N12" s="83">
        <f t="shared" si="4"/>
        <v>-303500</v>
      </c>
      <c r="O12" s="83">
        <f t="shared" si="4"/>
        <v>-42500</v>
      </c>
      <c r="P12" s="83">
        <f t="shared" si="4"/>
        <v>-25379.499999999884</v>
      </c>
      <c r="Q12" s="83">
        <f t="shared" si="4"/>
        <v>382890.4225000001</v>
      </c>
      <c r="R12" s="83">
        <f t="shared" si="4"/>
        <v>979335.49151250033</v>
      </c>
      <c r="S12" s="90">
        <f t="shared" si="4"/>
        <v>1907878.0886305629</v>
      </c>
      <c r="T12" s="90">
        <f t="shared" si="4"/>
        <v>3312437.1026189383</v>
      </c>
      <c r="U12" s="90">
        <f t="shared" si="4"/>
        <v>5430827.7722367905</v>
      </c>
      <c r="V12" s="83">
        <f t="shared" si="4"/>
        <v>11641989.377498792</v>
      </c>
    </row>
    <row r="13" spans="1:22" ht="30" customHeight="1" x14ac:dyDescent="0.3">
      <c r="A13" s="75" t="s">
        <v>167</v>
      </c>
      <c r="B13" s="97">
        <f>Amortización!F15</f>
        <v>4791.666666666667</v>
      </c>
      <c r="C13" s="83">
        <f>Amortización!F16</f>
        <v>4732.2055618843024</v>
      </c>
      <c r="D13" s="83">
        <f>Amortización!F17</f>
        <v>4672.1746215144394</v>
      </c>
      <c r="E13" s="83">
        <f>Amortización!F18</f>
        <v>4611.5683846326983</v>
      </c>
      <c r="F13" s="83">
        <f>Amortización!F19</f>
        <v>4550.3813379808407</v>
      </c>
      <c r="G13" s="83">
        <f>Amortización!F20</f>
        <v>4488.6079154652361</v>
      </c>
      <c r="H13" s="83">
        <f>Amortización!F21</f>
        <v>4426.2424976505245</v>
      </c>
      <c r="I13" s="83">
        <f>Amortización!F22</f>
        <v>4363.2794112484216</v>
      </c>
      <c r="J13" s="83">
        <f>Amortización!F23</f>
        <v>4299.7129286016316</v>
      </c>
      <c r="K13" s="83">
        <f>Amortización!F24</f>
        <v>4235.5372671628093</v>
      </c>
      <c r="L13" s="83">
        <f>Amortización!F25</f>
        <v>4170.7465889685327</v>
      </c>
      <c r="M13" s="83">
        <f>Amortización!F26</f>
        <v>4105.3350001082272</v>
      </c>
      <c r="N13" s="83">
        <f>SUM(B13:M13)</f>
        <v>53447.458181884329</v>
      </c>
      <c r="O13" s="83">
        <f>Amortización!J17</f>
        <v>43927.60828602453</v>
      </c>
      <c r="P13" s="83">
        <f>Amortización!J18</f>
        <v>33253.387787818014</v>
      </c>
      <c r="Q13" s="83">
        <f>Amortización!J19</f>
        <v>21284.818483601928</v>
      </c>
      <c r="R13" s="83">
        <f>Amortización!J20</f>
        <v>7864.9485067833057</v>
      </c>
      <c r="S13" s="90">
        <f>Amortización!J21</f>
        <v>0</v>
      </c>
      <c r="T13" s="90">
        <f>Amortización!J22</f>
        <v>0</v>
      </c>
      <c r="U13" s="90">
        <f>Amortización!J23</f>
        <v>0</v>
      </c>
      <c r="V13" s="83">
        <f>SUM(N13:U13)</f>
        <v>159778.22124611211</v>
      </c>
    </row>
    <row r="14" spans="1:22" x14ac:dyDescent="0.25">
      <c r="A14" s="71" t="s">
        <v>168</v>
      </c>
      <c r="B14" s="83">
        <f t="shared" ref="B14:U14" si="5">B12-B13</f>
        <v>-44791.666666666664</v>
      </c>
      <c r="C14" s="83">
        <f t="shared" si="5"/>
        <v>-33432.205561884301</v>
      </c>
      <c r="D14" s="83">
        <f t="shared" si="5"/>
        <v>-40672.174621514438</v>
      </c>
      <c r="E14" s="83">
        <f t="shared" si="5"/>
        <v>-29311.568384632697</v>
      </c>
      <c r="F14" s="83">
        <f t="shared" si="5"/>
        <v>-36550.381337980842</v>
      </c>
      <c r="G14" s="83">
        <f t="shared" si="5"/>
        <v>-25188.607915465236</v>
      </c>
      <c r="H14" s="83">
        <f t="shared" si="5"/>
        <v>-32426.242497650524</v>
      </c>
      <c r="I14" s="83">
        <f t="shared" si="5"/>
        <v>-21063.279411248423</v>
      </c>
      <c r="J14" s="83">
        <f t="shared" si="5"/>
        <v>-28299.712928601632</v>
      </c>
      <c r="K14" s="83">
        <f t="shared" si="5"/>
        <v>-16935.53726716281</v>
      </c>
      <c r="L14" s="83">
        <f t="shared" si="5"/>
        <v>-24170.746588968534</v>
      </c>
      <c r="M14" s="83">
        <f t="shared" si="5"/>
        <v>-24105.335000108229</v>
      </c>
      <c r="N14" s="83">
        <f t="shared" si="5"/>
        <v>-356947.45818188431</v>
      </c>
      <c r="O14" s="83">
        <f t="shared" si="5"/>
        <v>-86427.608286024537</v>
      </c>
      <c r="P14" s="83">
        <f t="shared" si="5"/>
        <v>-58632.887787817897</v>
      </c>
      <c r="Q14" s="83">
        <f t="shared" si="5"/>
        <v>361605.6040163982</v>
      </c>
      <c r="R14" s="83">
        <f t="shared" si="5"/>
        <v>971470.54300571699</v>
      </c>
      <c r="S14" s="90">
        <f t="shared" si="5"/>
        <v>1907878.0886305629</v>
      </c>
      <c r="T14" s="90">
        <f t="shared" si="5"/>
        <v>3312437.1026189383</v>
      </c>
      <c r="U14" s="90">
        <f t="shared" si="5"/>
        <v>5430827.7722367905</v>
      </c>
      <c r="V14" s="83">
        <f>SUM(N14:U14)</f>
        <v>11482211.15625268</v>
      </c>
    </row>
    <row r="15" spans="1:22" ht="38.25" customHeight="1" x14ac:dyDescent="0.25">
      <c r="A15" s="72" t="s">
        <v>169</v>
      </c>
      <c r="B15" s="83">
        <f t="shared" ref="B15:M15" si="6">MAX(B14,0)*$B$32</f>
        <v>0</v>
      </c>
      <c r="C15" s="83">
        <f t="shared" si="6"/>
        <v>0</v>
      </c>
      <c r="D15" s="83">
        <f t="shared" si="6"/>
        <v>0</v>
      </c>
      <c r="E15" s="83">
        <f t="shared" si="6"/>
        <v>0</v>
      </c>
      <c r="F15" s="83">
        <f t="shared" si="6"/>
        <v>0</v>
      </c>
      <c r="G15" s="83">
        <f t="shared" si="6"/>
        <v>0</v>
      </c>
      <c r="H15" s="83">
        <f t="shared" si="6"/>
        <v>0</v>
      </c>
      <c r="I15" s="83">
        <f t="shared" si="6"/>
        <v>0</v>
      </c>
      <c r="J15" s="83">
        <f t="shared" si="6"/>
        <v>0</v>
      </c>
      <c r="K15" s="83">
        <f t="shared" si="6"/>
        <v>0</v>
      </c>
      <c r="L15" s="83">
        <f t="shared" si="6"/>
        <v>0</v>
      </c>
      <c r="M15" s="83">
        <f t="shared" si="6"/>
        <v>0</v>
      </c>
      <c r="N15" s="83">
        <f>SUM(B15:M15)</f>
        <v>0</v>
      </c>
      <c r="O15" s="83">
        <f t="shared" ref="O15:U15" si="7">MAX(O14,0)*$B$32</f>
        <v>0</v>
      </c>
      <c r="P15" s="83">
        <f t="shared" si="7"/>
        <v>0</v>
      </c>
      <c r="Q15" s="83">
        <f t="shared" si="7"/>
        <v>108481.68120491946</v>
      </c>
      <c r="R15" s="83">
        <f t="shared" si="7"/>
        <v>291441.16290171508</v>
      </c>
      <c r="S15" s="90">
        <f t="shared" si="7"/>
        <v>572363.42658916884</v>
      </c>
      <c r="T15" s="90">
        <f t="shared" si="7"/>
        <v>993731.13078568142</v>
      </c>
      <c r="U15" s="90">
        <f t="shared" si="7"/>
        <v>1629248.331671037</v>
      </c>
      <c r="V15" s="83">
        <f>SUM(N15:U15)</f>
        <v>3595265.7331525218</v>
      </c>
    </row>
    <row r="16" spans="1:22" ht="40.5" customHeight="1" x14ac:dyDescent="0.25">
      <c r="A16" s="71" t="s">
        <v>170</v>
      </c>
      <c r="B16" s="83">
        <f t="shared" ref="B16:V16" si="8">B14-B15</f>
        <v>-44791.666666666664</v>
      </c>
      <c r="C16" s="83">
        <f t="shared" si="8"/>
        <v>-33432.205561884301</v>
      </c>
      <c r="D16" s="83">
        <f t="shared" si="8"/>
        <v>-40672.174621514438</v>
      </c>
      <c r="E16" s="83">
        <f t="shared" si="8"/>
        <v>-29311.568384632697</v>
      </c>
      <c r="F16" s="83">
        <f t="shared" si="8"/>
        <v>-36550.381337980842</v>
      </c>
      <c r="G16" s="83">
        <f t="shared" si="8"/>
        <v>-25188.607915465236</v>
      </c>
      <c r="H16" s="83">
        <f t="shared" si="8"/>
        <v>-32426.242497650524</v>
      </c>
      <c r="I16" s="83">
        <f t="shared" si="8"/>
        <v>-21063.279411248423</v>
      </c>
      <c r="J16" s="83">
        <f t="shared" si="8"/>
        <v>-28299.712928601632</v>
      </c>
      <c r="K16" s="83">
        <f t="shared" si="8"/>
        <v>-16935.53726716281</v>
      </c>
      <c r="L16" s="83">
        <f t="shared" si="8"/>
        <v>-24170.746588968534</v>
      </c>
      <c r="M16" s="83">
        <f t="shared" si="8"/>
        <v>-24105.335000108229</v>
      </c>
      <c r="N16" s="83">
        <f t="shared" si="8"/>
        <v>-356947.45818188431</v>
      </c>
      <c r="O16" s="83">
        <f t="shared" si="8"/>
        <v>-86427.608286024537</v>
      </c>
      <c r="P16" s="83">
        <f t="shared" si="8"/>
        <v>-58632.887787817897</v>
      </c>
      <c r="Q16" s="83">
        <f t="shared" si="8"/>
        <v>253123.92281147873</v>
      </c>
      <c r="R16" s="83">
        <f t="shared" si="8"/>
        <v>680029.38010400184</v>
      </c>
      <c r="S16" s="90">
        <f t="shared" si="8"/>
        <v>1335514.662041394</v>
      </c>
      <c r="T16" s="90">
        <f t="shared" si="8"/>
        <v>2318705.971833257</v>
      </c>
      <c r="U16" s="90">
        <f t="shared" si="8"/>
        <v>3801579.4405657537</v>
      </c>
      <c r="V16" s="83">
        <f t="shared" si="8"/>
        <v>7886945.4231001586</v>
      </c>
    </row>
    <row r="18" spans="1:4" ht="45" customHeight="1" x14ac:dyDescent="0.25">
      <c r="A18" s="73" t="s">
        <v>171</v>
      </c>
      <c r="B18" s="29">
        <f>V16/B19</f>
        <v>15.773890846200317</v>
      </c>
    </row>
    <row r="19" spans="1:4" ht="48.75" customHeight="1" x14ac:dyDescent="0.25">
      <c r="A19" s="73" t="s">
        <v>172</v>
      </c>
      <c r="B19" s="85">
        <f>'Inversión inicial'!C26</f>
        <v>500000</v>
      </c>
    </row>
    <row r="21" spans="1:4" x14ac:dyDescent="0.25">
      <c r="A21" s="132" t="s">
        <v>173</v>
      </c>
      <c r="B21" s="133"/>
      <c r="C21" s="133"/>
      <c r="D21" s="126"/>
    </row>
    <row r="22" spans="1:4" x14ac:dyDescent="0.25">
      <c r="A22" s="28" t="s">
        <v>174</v>
      </c>
      <c r="B22" s="28" t="s">
        <v>175</v>
      </c>
      <c r="C22" s="28" t="s">
        <v>176</v>
      </c>
      <c r="D22" s="28" t="s">
        <v>177</v>
      </c>
    </row>
    <row r="23" spans="1:4" x14ac:dyDescent="0.25">
      <c r="A23" s="1">
        <v>2</v>
      </c>
      <c r="B23" s="1">
        <v>5</v>
      </c>
      <c r="C23" s="1">
        <v>12</v>
      </c>
      <c r="D23" s="1">
        <v>7</v>
      </c>
    </row>
    <row r="24" spans="1:4" x14ac:dyDescent="0.25">
      <c r="A24" s="1">
        <v>3</v>
      </c>
      <c r="B24" s="1">
        <v>12</v>
      </c>
      <c r="C24" s="1">
        <v>20</v>
      </c>
      <c r="D24" s="1">
        <v>8</v>
      </c>
    </row>
    <row r="25" spans="1:4" x14ac:dyDescent="0.25">
      <c r="A25" s="1">
        <v>4</v>
      </c>
      <c r="B25" s="1">
        <v>20</v>
      </c>
      <c r="C25" s="1">
        <v>30</v>
      </c>
      <c r="D25" s="1">
        <v>10</v>
      </c>
    </row>
    <row r="26" spans="1:4" x14ac:dyDescent="0.25">
      <c r="A26" s="1">
        <v>5</v>
      </c>
      <c r="B26" s="1">
        <v>30</v>
      </c>
      <c r="C26" s="1">
        <v>45</v>
      </c>
      <c r="D26" s="1">
        <v>15</v>
      </c>
    </row>
    <row r="27" spans="1:4" x14ac:dyDescent="0.25">
      <c r="A27" s="1">
        <v>6</v>
      </c>
      <c r="B27" s="1">
        <v>45</v>
      </c>
      <c r="C27" s="1">
        <v>68</v>
      </c>
      <c r="D27" s="1">
        <v>23</v>
      </c>
    </row>
    <row r="28" spans="1:4" x14ac:dyDescent="0.25">
      <c r="A28" s="1">
        <v>7</v>
      </c>
      <c r="B28" s="1">
        <v>68</v>
      </c>
      <c r="C28" s="1">
        <v>102</v>
      </c>
      <c r="D28" s="1">
        <v>34</v>
      </c>
    </row>
    <row r="29" spans="1:4" x14ac:dyDescent="0.25">
      <c r="A29" s="1">
        <v>8</v>
      </c>
      <c r="B29" s="1">
        <v>102</v>
      </c>
      <c r="C29" s="1">
        <v>153</v>
      </c>
      <c r="D29" s="1">
        <v>51</v>
      </c>
    </row>
    <row r="31" spans="1:4" x14ac:dyDescent="0.25">
      <c r="A31" s="76" t="s">
        <v>178</v>
      </c>
      <c r="B31" s="77">
        <v>4.4999999999999998E-2</v>
      </c>
    </row>
    <row r="32" spans="1:4" x14ac:dyDescent="0.25">
      <c r="A32" s="76" t="s">
        <v>179</v>
      </c>
      <c r="B32" s="77">
        <v>0.3</v>
      </c>
    </row>
    <row r="33" spans="1:4" x14ac:dyDescent="0.25">
      <c r="A33" s="76" t="s">
        <v>180</v>
      </c>
      <c r="B33" s="6">
        <v>600000</v>
      </c>
    </row>
    <row r="34" spans="1:4" x14ac:dyDescent="0.25">
      <c r="A34" s="76" t="s">
        <v>181</v>
      </c>
      <c r="B34" s="6">
        <v>180000</v>
      </c>
    </row>
    <row r="36" spans="1:4" x14ac:dyDescent="0.25">
      <c r="A36" s="28" t="s">
        <v>182</v>
      </c>
      <c r="B36" s="1"/>
    </row>
    <row r="37" spans="1:4" x14ac:dyDescent="0.25">
      <c r="A37" s="67" t="s">
        <v>174</v>
      </c>
      <c r="B37" s="67" t="s">
        <v>183</v>
      </c>
    </row>
    <row r="38" spans="1:4" x14ac:dyDescent="0.25">
      <c r="A38" s="67">
        <v>1</v>
      </c>
      <c r="B38" s="77">
        <v>0.5</v>
      </c>
    </row>
    <row r="39" spans="1:4" x14ac:dyDescent="0.25">
      <c r="A39" s="67">
        <v>2</v>
      </c>
      <c r="B39" s="77">
        <v>0.5</v>
      </c>
    </row>
    <row r="40" spans="1:4" x14ac:dyDescent="0.25">
      <c r="A40" s="67">
        <v>3</v>
      </c>
      <c r="B40" s="77">
        <v>1</v>
      </c>
    </row>
    <row r="41" spans="1:4" x14ac:dyDescent="0.25">
      <c r="A41" s="67">
        <v>4</v>
      </c>
      <c r="B41" s="77">
        <v>1</v>
      </c>
    </row>
    <row r="42" spans="1:4" x14ac:dyDescent="0.25">
      <c r="A42" s="67">
        <v>5</v>
      </c>
      <c r="B42" s="77">
        <v>1</v>
      </c>
    </row>
    <row r="43" spans="1:4" x14ac:dyDescent="0.25">
      <c r="A43" s="67">
        <v>6</v>
      </c>
      <c r="B43" s="77">
        <v>1</v>
      </c>
    </row>
    <row r="44" spans="1:4" x14ac:dyDescent="0.25">
      <c r="A44" s="67">
        <v>7</v>
      </c>
      <c r="B44" s="77">
        <v>1</v>
      </c>
    </row>
    <row r="45" spans="1:4" x14ac:dyDescent="0.25">
      <c r="A45" s="67">
        <v>8</v>
      </c>
      <c r="B45" s="77">
        <v>1</v>
      </c>
    </row>
    <row r="47" spans="1:4" ht="15" customHeight="1" x14ac:dyDescent="0.25">
      <c r="A47" s="131" t="s">
        <v>184</v>
      </c>
      <c r="B47" s="124"/>
      <c r="C47" s="124"/>
      <c r="D47" s="124"/>
    </row>
    <row r="48" spans="1:4" x14ac:dyDescent="0.25">
      <c r="A48" s="131"/>
      <c r="B48" s="124"/>
      <c r="C48" s="124"/>
      <c r="D48" s="124"/>
    </row>
    <row r="49" spans="1:4" x14ac:dyDescent="0.25">
      <c r="A49" s="131"/>
      <c r="B49" s="124"/>
      <c r="C49" s="124"/>
      <c r="D49" s="124"/>
    </row>
    <row r="50" spans="1:4" x14ac:dyDescent="0.25">
      <c r="A50" s="131"/>
      <c r="B50" s="124"/>
      <c r="C50" s="124"/>
      <c r="D50" s="124"/>
    </row>
  </sheetData>
  <mergeCells count="2">
    <mergeCell ref="A47:D50"/>
    <mergeCell ref="A21:D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"/>
  <sheetViews>
    <sheetView workbookViewId="0">
      <selection activeCell="G13" sqref="G13"/>
    </sheetView>
  </sheetViews>
  <sheetFormatPr baseColWidth="10" defaultRowHeight="15" x14ac:dyDescent="0.25"/>
  <cols>
    <col min="1" max="1" width="40.140625" style="104" customWidth="1"/>
    <col min="2" max="2" width="18" style="104" customWidth="1"/>
    <col min="3" max="3" width="18.7109375" style="104" customWidth="1"/>
    <col min="4" max="10" width="13" style="104" customWidth="1"/>
    <col min="11" max="12" width="18.7109375" style="104" customWidth="1"/>
  </cols>
  <sheetData>
    <row r="1" spans="1:10" s="23" customFormat="1" ht="15.75" customHeight="1" x14ac:dyDescent="0.25">
      <c r="A1" s="22" t="s">
        <v>185</v>
      </c>
      <c r="B1" s="22"/>
      <c r="C1" s="22"/>
    </row>
    <row r="2" spans="1:10" ht="16.5" customHeight="1" x14ac:dyDescent="0.25">
      <c r="A2" s="4"/>
      <c r="B2" s="4"/>
    </row>
    <row r="3" spans="1:10" x14ac:dyDescent="0.25">
      <c r="A3" s="5" t="s">
        <v>160</v>
      </c>
      <c r="B3" s="35"/>
      <c r="C3" s="95">
        <f>'Estado de Resultados'!N6</f>
        <v>285000</v>
      </c>
      <c r="D3" s="95">
        <f>'Estado de Resultados'!O6</f>
        <v>637500</v>
      </c>
      <c r="E3" s="95">
        <f>'Estado de Resultados'!P6</f>
        <v>1068000</v>
      </c>
      <c r="F3" s="95">
        <f>'Estado de Resultados'!Q6</f>
        <v>1605000</v>
      </c>
      <c r="G3" s="145">
        <f>'Estado de Resultados'!R6</f>
        <v>2407500</v>
      </c>
      <c r="H3" s="90">
        <f>'Estado de Resultados'!S6</f>
        <v>3637500</v>
      </c>
      <c r="I3" s="90">
        <f>'Estado de Resultados'!T6</f>
        <v>5457000</v>
      </c>
      <c r="J3" s="90">
        <f>'Estado de Resultados'!U6</f>
        <v>8185500</v>
      </c>
    </row>
    <row r="4" spans="1:10" x14ac:dyDescent="0.25">
      <c r="H4" s="1"/>
      <c r="I4" s="1"/>
      <c r="J4" s="1"/>
    </row>
    <row r="5" spans="1:10" x14ac:dyDescent="0.25">
      <c r="A5" s="112" t="s">
        <v>2</v>
      </c>
      <c r="B5" s="5" t="s">
        <v>186</v>
      </c>
      <c r="C5" s="5" t="s">
        <v>152</v>
      </c>
      <c r="D5" s="17" t="s">
        <v>187</v>
      </c>
      <c r="E5" s="17" t="s">
        <v>188</v>
      </c>
      <c r="F5" s="17" t="s">
        <v>189</v>
      </c>
      <c r="G5" s="146" t="s">
        <v>190</v>
      </c>
      <c r="H5" s="32" t="s">
        <v>191</v>
      </c>
      <c r="I5" s="32" t="s">
        <v>192</v>
      </c>
      <c r="J5" s="32" t="s">
        <v>193</v>
      </c>
    </row>
    <row r="6" spans="1:10" x14ac:dyDescent="0.25">
      <c r="A6" s="15" t="s">
        <v>194</v>
      </c>
      <c r="B6" s="94">
        <v>0</v>
      </c>
      <c r="C6" s="83">
        <f t="shared" ref="C6:J6" si="0">B29</f>
        <v>0</v>
      </c>
      <c r="D6" s="83">
        <f t="shared" si="0"/>
        <v>-435455.64424922236</v>
      </c>
      <c r="E6" s="83">
        <f t="shared" si="0"/>
        <v>-174455.64424922239</v>
      </c>
      <c r="F6" s="83">
        <f t="shared" si="0"/>
        <v>-157335.14424922236</v>
      </c>
      <c r="G6" s="147">
        <f t="shared" si="0"/>
        <v>142453.09704585825</v>
      </c>
      <c r="H6" s="90">
        <f t="shared" si="0"/>
        <v>555938.68436156271</v>
      </c>
      <c r="I6" s="90">
        <f t="shared" si="0"/>
        <v>1335514.662041394</v>
      </c>
      <c r="J6" s="90">
        <f t="shared" si="0"/>
        <v>2318705.971833257</v>
      </c>
    </row>
    <row r="7" spans="1:10" x14ac:dyDescent="0.25">
      <c r="A7" s="28" t="s">
        <v>195</v>
      </c>
      <c r="B7" s="15"/>
      <c r="C7" s="1"/>
      <c r="D7" s="1"/>
      <c r="E7" s="1"/>
      <c r="F7" s="1"/>
      <c r="G7" s="148"/>
      <c r="H7" s="1"/>
      <c r="I7" s="1"/>
      <c r="J7" s="1"/>
    </row>
    <row r="8" spans="1:10" x14ac:dyDescent="0.25">
      <c r="A8" s="1" t="s">
        <v>196</v>
      </c>
      <c r="B8" s="6"/>
      <c r="C8" s="83">
        <f t="shared" ref="C8:J8" si="1">C3</f>
        <v>285000</v>
      </c>
      <c r="D8" s="83">
        <f t="shared" si="1"/>
        <v>637500</v>
      </c>
      <c r="E8" s="83">
        <f t="shared" si="1"/>
        <v>1068000</v>
      </c>
      <c r="F8" s="83">
        <f t="shared" si="1"/>
        <v>1605000</v>
      </c>
      <c r="G8" s="147">
        <f t="shared" si="1"/>
        <v>2407500</v>
      </c>
      <c r="H8" s="90">
        <f t="shared" si="1"/>
        <v>3637500</v>
      </c>
      <c r="I8" s="90">
        <f t="shared" si="1"/>
        <v>5457000</v>
      </c>
      <c r="J8" s="90">
        <f t="shared" si="1"/>
        <v>8185500</v>
      </c>
    </row>
    <row r="9" spans="1:10" hidden="1" x14ac:dyDescent="0.25">
      <c r="A9" s="1" t="s">
        <v>197</v>
      </c>
      <c r="B9" s="1"/>
      <c r="C9" s="3"/>
      <c r="D9" s="3"/>
      <c r="E9" s="3"/>
      <c r="F9" s="3"/>
      <c r="G9" s="149"/>
      <c r="H9" s="1"/>
      <c r="I9" s="1"/>
      <c r="J9" s="1"/>
    </row>
    <row r="10" spans="1:10" hidden="1" x14ac:dyDescent="0.25">
      <c r="A10" s="1" t="s">
        <v>198</v>
      </c>
      <c r="B10" s="1"/>
      <c r="C10" s="3"/>
      <c r="D10" s="3"/>
      <c r="E10" s="3"/>
      <c r="F10" s="3"/>
      <c r="G10" s="149"/>
      <c r="H10" s="1"/>
      <c r="I10" s="1"/>
      <c r="J10" s="1"/>
    </row>
    <row r="11" spans="1:10" x14ac:dyDescent="0.25">
      <c r="A11" s="28" t="s">
        <v>199</v>
      </c>
      <c r="B11" s="99">
        <f t="shared" ref="B11:J11" si="2">SUM(B7:B10)</f>
        <v>0</v>
      </c>
      <c r="C11" s="99">
        <f t="shared" si="2"/>
        <v>285000</v>
      </c>
      <c r="D11" s="99">
        <f t="shared" si="2"/>
        <v>637500</v>
      </c>
      <c r="E11" s="99">
        <f t="shared" si="2"/>
        <v>1068000</v>
      </c>
      <c r="F11" s="99">
        <f t="shared" si="2"/>
        <v>1605000</v>
      </c>
      <c r="G11" s="150">
        <f t="shared" si="2"/>
        <v>2407500</v>
      </c>
      <c r="H11" s="90">
        <f t="shared" si="2"/>
        <v>3637500</v>
      </c>
      <c r="I11" s="90">
        <f t="shared" si="2"/>
        <v>5457000</v>
      </c>
      <c r="J11" s="90">
        <f t="shared" si="2"/>
        <v>8185500</v>
      </c>
    </row>
    <row r="12" spans="1:10" x14ac:dyDescent="0.25">
      <c r="A12" s="28" t="s">
        <v>200</v>
      </c>
      <c r="B12" s="15"/>
      <c r="C12" s="1"/>
      <c r="D12" s="1"/>
      <c r="E12" s="1"/>
      <c r="F12" s="1"/>
      <c r="G12" s="148"/>
      <c r="H12" s="1"/>
      <c r="I12" s="1"/>
      <c r="J12" s="1"/>
    </row>
    <row r="13" spans="1:10" x14ac:dyDescent="0.25">
      <c r="A13" s="1" t="s">
        <v>201</v>
      </c>
      <c r="B13" s="6"/>
      <c r="C13" s="83">
        <f>'Estado de Resultados'!N7</f>
        <v>108500</v>
      </c>
      <c r="D13" s="83">
        <f>'Estado de Resultados'!O7</f>
        <v>178400</v>
      </c>
      <c r="E13" s="83">
        <f>'Estado de Resultados'!P7</f>
        <v>241600</v>
      </c>
      <c r="F13" s="83">
        <f>'Estado de Resultados'!Q7</f>
        <v>332000</v>
      </c>
      <c r="G13" s="147">
        <f>'Estado de Resultados'!R7</f>
        <v>498000</v>
      </c>
      <c r="H13" s="90">
        <f>'Estado de Resultados'!S7</f>
        <v>757600</v>
      </c>
      <c r="I13" s="90">
        <f>'Estado de Resultados'!T7</f>
        <v>1128800</v>
      </c>
      <c r="J13" s="90">
        <f>'Estado de Resultados'!U7</f>
        <v>1693200</v>
      </c>
    </row>
    <row r="14" spans="1:10" x14ac:dyDescent="0.25">
      <c r="A14" s="1" t="s">
        <v>202</v>
      </c>
      <c r="B14" s="6"/>
      <c r="C14" s="83">
        <f>'Estado de Resultados'!N11</f>
        <v>480000</v>
      </c>
      <c r="D14" s="83">
        <f>'Estado de Resultados'!O11</f>
        <v>501600</v>
      </c>
      <c r="E14" s="83">
        <f>'Estado de Resultados'!P11</f>
        <v>851779.49999999988</v>
      </c>
      <c r="F14" s="83">
        <f>'Estado de Resultados'!Q11</f>
        <v>890109.5774999999</v>
      </c>
      <c r="G14" s="147">
        <f>'Estado de Resultados'!R11</f>
        <v>930164.50848749967</v>
      </c>
      <c r="H14" s="90">
        <f>'Estado de Resultados'!S11</f>
        <v>972021.91136943712</v>
      </c>
      <c r="I14" s="90">
        <f>'Estado de Resultados'!T11</f>
        <v>1015762.8973810615</v>
      </c>
      <c r="J14" s="90">
        <f>'Estado de Resultados'!U11</f>
        <v>1061472.2277632093</v>
      </c>
    </row>
    <row r="15" spans="1:10" x14ac:dyDescent="0.25">
      <c r="A15" s="1" t="s">
        <v>203</v>
      </c>
      <c r="B15" s="6"/>
      <c r="C15" s="83">
        <f>'Estado de Resultados'!N15</f>
        <v>0</v>
      </c>
      <c r="D15" s="83">
        <f>'Estado de Resultados'!O15</f>
        <v>0</v>
      </c>
      <c r="E15" s="83">
        <f>'Estado de Resultados'!P15</f>
        <v>0</v>
      </c>
      <c r="F15" s="83">
        <f>'Estado de Resultados'!Q15</f>
        <v>108481.68120491946</v>
      </c>
      <c r="G15" s="147">
        <f>'Estado de Resultados'!R15</f>
        <v>291441.16290171508</v>
      </c>
      <c r="H15" s="90">
        <f>'Estado de Resultados'!S15</f>
        <v>572363.42658916884</v>
      </c>
      <c r="I15" s="90">
        <f>'Estado de Resultados'!T15</f>
        <v>993731.13078568142</v>
      </c>
      <c r="J15" s="90">
        <f>'Estado de Resultados'!U15</f>
        <v>1629248.331671037</v>
      </c>
    </row>
    <row r="16" spans="1:10" hidden="1" x14ac:dyDescent="0.25">
      <c r="A16" s="1" t="s">
        <v>204</v>
      </c>
      <c r="B16" s="1"/>
      <c r="C16" s="3"/>
      <c r="D16" s="3"/>
      <c r="E16" s="3"/>
      <c r="F16" s="3"/>
      <c r="G16" s="149"/>
      <c r="H16" s="1"/>
      <c r="I16" s="1"/>
      <c r="J16" s="1"/>
    </row>
    <row r="17" spans="1:10" x14ac:dyDescent="0.25">
      <c r="A17" s="28" t="s">
        <v>205</v>
      </c>
      <c r="B17" s="99">
        <f t="shared" ref="B17:J17" si="3">SUM(B13:B16)</f>
        <v>0</v>
      </c>
      <c r="C17" s="99">
        <f t="shared" si="3"/>
        <v>588500</v>
      </c>
      <c r="D17" s="100">
        <f t="shared" si="3"/>
        <v>680000</v>
      </c>
      <c r="E17" s="100">
        <f t="shared" si="3"/>
        <v>1093379.5</v>
      </c>
      <c r="F17" s="100">
        <f t="shared" si="3"/>
        <v>1330591.2587049194</v>
      </c>
      <c r="G17" s="151">
        <f t="shared" si="3"/>
        <v>1719605.6713892149</v>
      </c>
      <c r="H17" s="90">
        <f t="shared" si="3"/>
        <v>2301985.337958606</v>
      </c>
      <c r="I17" s="90">
        <f t="shared" si="3"/>
        <v>3138294.028166743</v>
      </c>
      <c r="J17" s="90">
        <f t="shared" si="3"/>
        <v>4383920.5594342463</v>
      </c>
    </row>
    <row r="18" spans="1:10" x14ac:dyDescent="0.25">
      <c r="A18" s="28" t="s">
        <v>206</v>
      </c>
      <c r="B18" s="99">
        <f t="shared" ref="B18:J18" si="4">B11-B17</f>
        <v>0</v>
      </c>
      <c r="C18" s="99">
        <f t="shared" si="4"/>
        <v>-303500</v>
      </c>
      <c r="D18" s="99">
        <f t="shared" si="4"/>
        <v>-42500</v>
      </c>
      <c r="E18" s="99">
        <f t="shared" si="4"/>
        <v>-25379.5</v>
      </c>
      <c r="F18" s="99">
        <f t="shared" si="4"/>
        <v>274408.74129508063</v>
      </c>
      <c r="G18" s="150">
        <f t="shared" si="4"/>
        <v>687894.32861078507</v>
      </c>
      <c r="H18" s="90">
        <f t="shared" si="4"/>
        <v>1335514.662041394</v>
      </c>
      <c r="I18" s="90">
        <f t="shared" si="4"/>
        <v>2318705.971833257</v>
      </c>
      <c r="J18" s="90">
        <f t="shared" si="4"/>
        <v>3801579.4405657537</v>
      </c>
    </row>
    <row r="19" spans="1:10" x14ac:dyDescent="0.25">
      <c r="A19" s="28" t="s">
        <v>207</v>
      </c>
      <c r="B19" s="15"/>
      <c r="C19" s="1"/>
      <c r="D19" s="1"/>
      <c r="E19" s="1"/>
      <c r="F19" s="1"/>
      <c r="G19" s="148"/>
      <c r="H19" s="1"/>
      <c r="I19" s="1"/>
      <c r="J19" s="1"/>
    </row>
    <row r="20" spans="1:10" x14ac:dyDescent="0.25">
      <c r="A20" s="1" t="s">
        <v>208</v>
      </c>
      <c r="B20" s="83">
        <v>0</v>
      </c>
      <c r="C20" s="6"/>
      <c r="D20" s="6"/>
      <c r="E20" s="6"/>
      <c r="F20" s="6"/>
      <c r="G20" s="152"/>
      <c r="H20" s="6"/>
      <c r="I20" s="6"/>
      <c r="J20" s="6"/>
    </row>
    <row r="21" spans="1:10" x14ac:dyDescent="0.25">
      <c r="A21" s="1" t="s">
        <v>209</v>
      </c>
      <c r="B21" s="83">
        <f>Amortización!B4</f>
        <v>500000</v>
      </c>
      <c r="C21" s="6"/>
      <c r="D21" s="6"/>
      <c r="E21" s="6"/>
      <c r="F21" s="6"/>
      <c r="G21" s="152"/>
      <c r="H21" s="6"/>
      <c r="I21" s="6"/>
      <c r="J21" s="6"/>
    </row>
    <row r="22" spans="1:10" hidden="1" x14ac:dyDescent="0.25">
      <c r="A22" s="1" t="s">
        <v>210</v>
      </c>
      <c r="B22" s="3"/>
      <c r="C22" s="3"/>
      <c r="D22" s="3"/>
      <c r="E22" s="3"/>
      <c r="F22" s="3"/>
      <c r="G22" s="149"/>
      <c r="H22" s="1"/>
      <c r="I22" s="1"/>
      <c r="J22" s="1"/>
    </row>
    <row r="23" spans="1:10" x14ac:dyDescent="0.25">
      <c r="A23" s="15" t="s">
        <v>211</v>
      </c>
      <c r="B23" s="99">
        <f t="shared" ref="B23:J23" si="5">SUM(B20:B22)</f>
        <v>500000</v>
      </c>
      <c r="C23" s="100">
        <f t="shared" si="5"/>
        <v>0</v>
      </c>
      <c r="D23" s="99">
        <f t="shared" si="5"/>
        <v>0</v>
      </c>
      <c r="E23" s="99">
        <f t="shared" si="5"/>
        <v>0</v>
      </c>
      <c r="F23" s="99">
        <f t="shared" si="5"/>
        <v>0</v>
      </c>
      <c r="G23" s="150">
        <f t="shared" si="5"/>
        <v>0</v>
      </c>
      <c r="H23" s="90">
        <f t="shared" si="5"/>
        <v>0</v>
      </c>
      <c r="I23" s="90">
        <f t="shared" si="5"/>
        <v>0</v>
      </c>
      <c r="J23" s="90">
        <f t="shared" si="5"/>
        <v>0</v>
      </c>
    </row>
    <row r="24" spans="1:10" x14ac:dyDescent="0.25">
      <c r="A24" s="28" t="s">
        <v>212</v>
      </c>
      <c r="B24" s="15"/>
      <c r="C24" s="1"/>
      <c r="D24" s="1"/>
      <c r="E24" s="1"/>
      <c r="F24" s="1"/>
      <c r="G24" s="148"/>
      <c r="H24" s="1"/>
      <c r="I24" s="1"/>
      <c r="J24" s="1"/>
    </row>
    <row r="25" spans="1:10" x14ac:dyDescent="0.25">
      <c r="A25" s="1" t="s">
        <v>213</v>
      </c>
      <c r="B25" s="83">
        <f>'Inversión inicial'!C26</f>
        <v>500000</v>
      </c>
      <c r="C25" s="6"/>
      <c r="D25" s="6"/>
      <c r="E25" s="6"/>
      <c r="F25" s="6"/>
      <c r="G25" s="152"/>
      <c r="H25" s="6"/>
      <c r="I25" s="6"/>
      <c r="J25" s="6"/>
    </row>
    <row r="26" spans="1:10" x14ac:dyDescent="0.25">
      <c r="A26" s="1" t="s">
        <v>214</v>
      </c>
      <c r="B26" s="6"/>
      <c r="C26" s="83">
        <f>Amortización!J16+Amortización!K16</f>
        <v>131955.64424922239</v>
      </c>
      <c r="D26" s="83">
        <f>Amortización!J17+Amortización!K17</f>
        <v>131955.64424922239</v>
      </c>
      <c r="E26" s="83">
        <f>Amortización!J18+Amortización!K18</f>
        <v>131955.64424922236</v>
      </c>
      <c r="F26" s="83">
        <f>Amortización!J19+Amortización!K19</f>
        <v>131955.64424922239</v>
      </c>
      <c r="G26" s="147">
        <f>Amortización!J20+Amortización!K20</f>
        <v>131955.64424922239</v>
      </c>
      <c r="H26" s="90">
        <f>Amortización!J21+Amortización!K21</f>
        <v>0</v>
      </c>
      <c r="I26" s="90">
        <f>Amortización!J22+Amortización!K22</f>
        <v>0</v>
      </c>
      <c r="J26" s="90">
        <f>Amortización!J23+Amortización!K23</f>
        <v>0</v>
      </c>
    </row>
    <row r="27" spans="1:10" hidden="1" x14ac:dyDescent="0.25">
      <c r="A27" s="1" t="s">
        <v>215</v>
      </c>
      <c r="B27" s="3"/>
      <c r="C27" s="3"/>
      <c r="D27" s="3"/>
      <c r="E27" s="3"/>
      <c r="F27" s="3"/>
      <c r="G27" s="149"/>
      <c r="H27" s="1"/>
      <c r="I27" s="1"/>
      <c r="J27" s="1"/>
    </row>
    <row r="28" spans="1:10" x14ac:dyDescent="0.25">
      <c r="A28" s="28" t="s">
        <v>216</v>
      </c>
      <c r="B28" s="100">
        <f t="shared" ref="B28:J28" si="6">SUM(B25:B27)</f>
        <v>500000</v>
      </c>
      <c r="C28" s="100">
        <f t="shared" si="6"/>
        <v>131955.64424922239</v>
      </c>
      <c r="D28" s="100">
        <f t="shared" si="6"/>
        <v>131955.64424922239</v>
      </c>
      <c r="E28" s="100">
        <f t="shared" si="6"/>
        <v>131955.64424922236</v>
      </c>
      <c r="F28" s="100">
        <f t="shared" si="6"/>
        <v>131955.64424922239</v>
      </c>
      <c r="G28" s="151">
        <f t="shared" si="6"/>
        <v>131955.64424922239</v>
      </c>
      <c r="H28" s="90">
        <f t="shared" si="6"/>
        <v>0</v>
      </c>
      <c r="I28" s="90">
        <f t="shared" si="6"/>
        <v>0</v>
      </c>
      <c r="J28" s="90">
        <f t="shared" si="6"/>
        <v>0</v>
      </c>
    </row>
    <row r="29" spans="1:10" x14ac:dyDescent="0.25">
      <c r="A29" s="28" t="s">
        <v>217</v>
      </c>
      <c r="B29" s="99">
        <f>B18+B23-B28-B6</f>
        <v>0</v>
      </c>
      <c r="C29" s="99">
        <f t="shared" ref="C29:J29" si="7">C18+C23-C28</f>
        <v>-435455.64424922236</v>
      </c>
      <c r="D29" s="99">
        <f t="shared" si="7"/>
        <v>-174455.64424922239</v>
      </c>
      <c r="E29" s="99">
        <f t="shared" si="7"/>
        <v>-157335.14424922236</v>
      </c>
      <c r="F29" s="99">
        <f t="shared" si="7"/>
        <v>142453.09704585825</v>
      </c>
      <c r="G29" s="150">
        <f t="shared" si="7"/>
        <v>555938.68436156271</v>
      </c>
      <c r="H29" s="90">
        <f t="shared" si="7"/>
        <v>1335514.662041394</v>
      </c>
      <c r="I29" s="90">
        <f t="shared" si="7"/>
        <v>2318705.971833257</v>
      </c>
      <c r="J29" s="90">
        <f t="shared" si="7"/>
        <v>3801579.4405657537</v>
      </c>
    </row>
    <row r="30" spans="1:10" x14ac:dyDescent="0.25">
      <c r="A30" s="15" t="s">
        <v>218</v>
      </c>
      <c r="B30" s="99">
        <f t="shared" ref="B30:G30" si="8">B18+B23-B28</f>
        <v>0</v>
      </c>
      <c r="C30" s="99">
        <f t="shared" si="8"/>
        <v>-435455.64424922236</v>
      </c>
      <c r="D30" s="99">
        <f t="shared" si="8"/>
        <v>-174455.64424922239</v>
      </c>
      <c r="E30" s="99">
        <f t="shared" si="8"/>
        <v>-157335.14424922236</v>
      </c>
      <c r="F30" s="99">
        <f t="shared" si="8"/>
        <v>142453.09704585825</v>
      </c>
      <c r="G30" s="150">
        <f t="shared" si="8"/>
        <v>555938.68436156271</v>
      </c>
      <c r="H30" s="1"/>
      <c r="I30" s="1"/>
      <c r="J30" s="1"/>
    </row>
  </sheetData>
  <pageMargins left="0.7" right="0.7" top="0.75" bottom="0.75" header="0.3" footer="0.3"/>
  <pageSetup orientation="portrait" horizontalDpi="4294967293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0"/>
  <sheetViews>
    <sheetView zoomScaleNormal="100" workbookViewId="0">
      <selection activeCell="G32" sqref="G32"/>
    </sheetView>
  </sheetViews>
  <sheetFormatPr baseColWidth="10" defaultRowHeight="15" x14ac:dyDescent="0.25"/>
  <cols>
    <col min="1" max="1" width="26.5703125" style="104" customWidth="1"/>
    <col min="2" max="2" width="14.85546875" style="104" customWidth="1"/>
    <col min="3" max="3" width="14.7109375" style="104" customWidth="1"/>
    <col min="4" max="4" width="28.85546875" style="104" customWidth="1"/>
    <col min="5" max="5" width="23.28515625" style="104" customWidth="1"/>
    <col min="6" max="6" width="14.42578125" style="104" customWidth="1"/>
    <col min="7" max="7" width="27.5703125" style="104" customWidth="1"/>
    <col min="8" max="8" width="12.85546875" style="104" customWidth="1"/>
    <col min="9" max="9" width="13.7109375" style="104" customWidth="1"/>
    <col min="10" max="10" width="6.7109375" style="104" customWidth="1"/>
    <col min="11" max="11" width="7.140625" style="104" customWidth="1"/>
    <col min="12" max="12" width="22.7109375" style="104" customWidth="1"/>
    <col min="13" max="13" width="14.28515625" style="104" customWidth="1"/>
  </cols>
  <sheetData>
    <row r="1" spans="1:13" ht="18.75" customHeight="1" x14ac:dyDescent="0.3">
      <c r="A1" s="137" t="s">
        <v>219</v>
      </c>
      <c r="B1" s="124"/>
      <c r="C1" s="124"/>
      <c r="D1" s="124"/>
      <c r="E1" s="124"/>
      <c r="F1" s="124"/>
    </row>
    <row r="2" spans="1:13" x14ac:dyDescent="0.25">
      <c r="A2" s="115"/>
      <c r="B2" s="115"/>
      <c r="C2" s="115"/>
      <c r="D2" s="115"/>
      <c r="E2" s="115"/>
      <c r="F2" s="115"/>
      <c r="G2" s="115"/>
      <c r="H2" s="115"/>
      <c r="I2" s="115"/>
    </row>
    <row r="3" spans="1:13" x14ac:dyDescent="0.25">
      <c r="A3" s="4" t="s">
        <v>220</v>
      </c>
      <c r="B3" s="86">
        <f>'Inversión inicial'!C26</f>
        <v>500000</v>
      </c>
    </row>
    <row r="4" spans="1:13" x14ac:dyDescent="0.25">
      <c r="B4" s="115"/>
      <c r="D4" s="112" t="s">
        <v>221</v>
      </c>
      <c r="E4" s="5" t="s">
        <v>222</v>
      </c>
      <c r="G4" s="112" t="s">
        <v>223</v>
      </c>
      <c r="H4" s="5" t="s">
        <v>224</v>
      </c>
      <c r="K4" s="138" t="s">
        <v>225</v>
      </c>
      <c r="L4" s="124"/>
    </row>
    <row r="5" spans="1:13" x14ac:dyDescent="0.25">
      <c r="A5" s="119"/>
      <c r="E5" s="4"/>
    </row>
    <row r="6" spans="1:13" x14ac:dyDescent="0.25">
      <c r="A6" s="112" t="s">
        <v>226</v>
      </c>
      <c r="B6" s="120"/>
      <c r="D6" s="112" t="s">
        <v>227</v>
      </c>
      <c r="E6" s="93">
        <f>B21</f>
        <v>-500000</v>
      </c>
      <c r="G6" s="112" t="s">
        <v>227</v>
      </c>
      <c r="H6" s="93">
        <f>B21</f>
        <v>-500000</v>
      </c>
      <c r="K6" s="112" t="s">
        <v>174</v>
      </c>
      <c r="L6" s="5" t="s">
        <v>228</v>
      </c>
      <c r="M6" s="121" t="s">
        <v>229</v>
      </c>
    </row>
    <row r="7" spans="1:13" x14ac:dyDescent="0.25">
      <c r="A7" s="111" t="s">
        <v>230</v>
      </c>
      <c r="B7" s="82">
        <f>'Flujo de efectivo'!C29</f>
        <v>-435455.64424922236</v>
      </c>
      <c r="D7" s="134" t="s">
        <v>226</v>
      </c>
      <c r="E7" s="83">
        <f t="shared" ref="E7:E18" si="0">+B7</f>
        <v>-435455.64424922236</v>
      </c>
      <c r="G7" s="134" t="s">
        <v>226</v>
      </c>
      <c r="H7" s="83">
        <f t="shared" ref="H7:H18" si="1">+E7</f>
        <v>-435455.64424922236</v>
      </c>
      <c r="K7" s="111">
        <v>0</v>
      </c>
      <c r="L7" s="83">
        <f>B21</f>
        <v>-500000</v>
      </c>
      <c r="M7" s="83">
        <f>L7</f>
        <v>-500000</v>
      </c>
    </row>
    <row r="8" spans="1:13" x14ac:dyDescent="0.25">
      <c r="A8" s="111" t="s">
        <v>231</v>
      </c>
      <c r="B8" s="82">
        <f>'Flujo de efectivo'!D29</f>
        <v>-174455.64424922239</v>
      </c>
      <c r="D8" s="135"/>
      <c r="E8" s="83">
        <f t="shared" si="0"/>
        <v>-174455.64424922239</v>
      </c>
      <c r="G8" s="135"/>
      <c r="H8" s="83">
        <f t="shared" si="1"/>
        <v>-174455.64424922239</v>
      </c>
      <c r="K8" s="111">
        <v>1</v>
      </c>
      <c r="L8" s="82">
        <f t="shared" ref="L8:L15" si="2">B7</f>
        <v>-435455.64424922236</v>
      </c>
      <c r="M8" s="83">
        <f t="shared" ref="M8:M15" si="3">M7+L8</f>
        <v>-935455.64424922236</v>
      </c>
    </row>
    <row r="9" spans="1:13" x14ac:dyDescent="0.25">
      <c r="A9" s="111" t="s">
        <v>232</v>
      </c>
      <c r="B9" s="82">
        <f>'Flujo de efectivo'!E29</f>
        <v>-157335.14424922236</v>
      </c>
      <c r="D9" s="135"/>
      <c r="E9" s="83">
        <f t="shared" si="0"/>
        <v>-157335.14424922236</v>
      </c>
      <c r="G9" s="135"/>
      <c r="H9" s="83">
        <f t="shared" si="1"/>
        <v>-157335.14424922236</v>
      </c>
      <c r="K9" s="111">
        <v>2</v>
      </c>
      <c r="L9" s="82">
        <f t="shared" si="2"/>
        <v>-174455.64424922239</v>
      </c>
      <c r="M9" s="83">
        <f t="shared" si="3"/>
        <v>-1109911.2884984447</v>
      </c>
    </row>
    <row r="10" spans="1:13" x14ac:dyDescent="0.25">
      <c r="A10" s="111" t="s">
        <v>233</v>
      </c>
      <c r="B10" s="82">
        <f>'Flujo de efectivo'!F29</f>
        <v>142453.09704585825</v>
      </c>
      <c r="D10" s="135"/>
      <c r="E10" s="83">
        <f t="shared" si="0"/>
        <v>142453.09704585825</v>
      </c>
      <c r="G10" s="135"/>
      <c r="H10" s="83">
        <f t="shared" si="1"/>
        <v>142453.09704585825</v>
      </c>
      <c r="K10" s="111">
        <v>3</v>
      </c>
      <c r="L10" s="82">
        <f t="shared" si="2"/>
        <v>-157335.14424922236</v>
      </c>
      <c r="M10" s="83">
        <f t="shared" si="3"/>
        <v>-1267246.4327476672</v>
      </c>
    </row>
    <row r="11" spans="1:13" x14ac:dyDescent="0.25">
      <c r="A11" s="111" t="s">
        <v>234</v>
      </c>
      <c r="B11" s="82">
        <f>'Flujo de efectivo'!G29</f>
        <v>555938.68436156271</v>
      </c>
      <c r="D11" s="135"/>
      <c r="E11" s="83">
        <f t="shared" si="0"/>
        <v>555938.68436156271</v>
      </c>
      <c r="G11" s="135"/>
      <c r="H11" s="83">
        <f t="shared" si="1"/>
        <v>555938.68436156271</v>
      </c>
      <c r="K11" s="111">
        <v>4</v>
      </c>
      <c r="L11" s="82">
        <f t="shared" si="2"/>
        <v>142453.09704585825</v>
      </c>
      <c r="M11" s="83">
        <f t="shared" si="3"/>
        <v>-1124793.335701809</v>
      </c>
    </row>
    <row r="12" spans="1:13" x14ac:dyDescent="0.25">
      <c r="A12" s="36" t="s">
        <v>235</v>
      </c>
      <c r="B12" s="101">
        <f>'Flujo de efectivo'!H29</f>
        <v>1335514.662041394</v>
      </c>
      <c r="D12" s="135"/>
      <c r="E12" s="90">
        <f t="shared" si="0"/>
        <v>1335514.662041394</v>
      </c>
      <c r="G12" s="135"/>
      <c r="H12" s="90">
        <f t="shared" si="1"/>
        <v>1335514.662041394</v>
      </c>
      <c r="K12" s="111">
        <v>5</v>
      </c>
      <c r="L12" s="82">
        <f t="shared" si="2"/>
        <v>555938.68436156271</v>
      </c>
      <c r="M12" s="83">
        <f t="shared" si="3"/>
        <v>-568854.65134024632</v>
      </c>
    </row>
    <row r="13" spans="1:13" x14ac:dyDescent="0.25">
      <c r="A13" s="36" t="s">
        <v>236</v>
      </c>
      <c r="B13" s="101">
        <f>'Flujo de efectivo'!I29</f>
        <v>2318705.971833257</v>
      </c>
      <c r="D13" s="135"/>
      <c r="E13" s="90">
        <f t="shared" si="0"/>
        <v>2318705.971833257</v>
      </c>
      <c r="G13" s="135"/>
      <c r="H13" s="90">
        <f t="shared" si="1"/>
        <v>2318705.971833257</v>
      </c>
      <c r="K13" s="33">
        <v>6</v>
      </c>
      <c r="L13" s="102">
        <f t="shared" si="2"/>
        <v>1335514.662041394</v>
      </c>
      <c r="M13" s="103">
        <f t="shared" si="3"/>
        <v>766660.01070114772</v>
      </c>
    </row>
    <row r="14" spans="1:13" x14ac:dyDescent="0.25">
      <c r="A14" s="36" t="s">
        <v>237</v>
      </c>
      <c r="B14" s="101">
        <f>'Flujo de efectivo'!J29</f>
        <v>3801579.4405657537</v>
      </c>
      <c r="D14" s="135"/>
      <c r="E14" s="90">
        <f t="shared" si="0"/>
        <v>3801579.4405657537</v>
      </c>
      <c r="G14" s="135"/>
      <c r="H14" s="90">
        <f t="shared" si="1"/>
        <v>3801579.4405657537</v>
      </c>
      <c r="K14" s="33">
        <v>7</v>
      </c>
      <c r="L14" s="98">
        <f t="shared" si="2"/>
        <v>2318705.971833257</v>
      </c>
      <c r="M14" s="98">
        <f t="shared" si="3"/>
        <v>3085365.9825344048</v>
      </c>
    </row>
    <row r="15" spans="1:13" x14ac:dyDescent="0.25">
      <c r="A15" s="111" t="s">
        <v>238</v>
      </c>
      <c r="B15" s="20"/>
      <c r="D15" s="135"/>
      <c r="E15" s="83">
        <f t="shared" si="0"/>
        <v>0</v>
      </c>
      <c r="G15" s="135"/>
      <c r="H15" s="83">
        <f t="shared" si="1"/>
        <v>0</v>
      </c>
      <c r="K15" s="33">
        <v>8</v>
      </c>
      <c r="L15" s="98">
        <f t="shared" si="2"/>
        <v>3801579.4405657537</v>
      </c>
      <c r="M15" s="98">
        <f t="shared" si="3"/>
        <v>6886945.4231001586</v>
      </c>
    </row>
    <row r="16" spans="1:13" x14ac:dyDescent="0.25">
      <c r="A16" s="111" t="s">
        <v>239</v>
      </c>
      <c r="B16" s="20"/>
      <c r="D16" s="135"/>
      <c r="E16" s="83">
        <f t="shared" si="0"/>
        <v>0</v>
      </c>
      <c r="G16" s="135"/>
      <c r="H16" s="83">
        <f t="shared" si="1"/>
        <v>0</v>
      </c>
    </row>
    <row r="17" spans="1:13" x14ac:dyDescent="0.25">
      <c r="A17" s="111" t="s">
        <v>240</v>
      </c>
      <c r="B17" s="20"/>
      <c r="D17" s="135"/>
      <c r="E17" s="83">
        <f t="shared" si="0"/>
        <v>0</v>
      </c>
      <c r="G17" s="135"/>
      <c r="H17" s="83">
        <f t="shared" si="1"/>
        <v>0</v>
      </c>
      <c r="K17" s="141" t="s">
        <v>241</v>
      </c>
      <c r="L17" s="126"/>
      <c r="M17" s="1">
        <f>IFERROR(IF(M8&gt;=0,1+((-M7)/L8),IF(M9&gt;=0,2+((-M8)/L9),IF(M10&gt;=0,3+((-M9)/L10),IF(M11&gt;=0,4+((-M10)/L11),IF(M12&gt;=0,5+((-M11)/L12),IF(M13&gt;=0,6+((-M12)/L13),IF(M14&gt;=0,7+((-M13)/L14),IF(M15&gt;=0,8+((-M14)/L15),"No se recupera en el horizonte analizado")))))))),"No se recupera en el horizonte analizado")</f>
        <v>6.4259441453609547</v>
      </c>
    </row>
    <row r="18" spans="1:13" x14ac:dyDescent="0.25">
      <c r="A18" s="111" t="s">
        <v>242</v>
      </c>
      <c r="B18" s="20"/>
      <c r="D18" s="136"/>
      <c r="E18" s="83">
        <f t="shared" si="0"/>
        <v>0</v>
      </c>
      <c r="G18" s="136"/>
      <c r="H18" s="83">
        <f t="shared" si="1"/>
        <v>0</v>
      </c>
    </row>
    <row r="19" spans="1:13" x14ac:dyDescent="0.25">
      <c r="A19" s="112" t="s">
        <v>243</v>
      </c>
      <c r="B19" s="21">
        <v>8</v>
      </c>
    </row>
    <row r="20" spans="1:13" x14ac:dyDescent="0.25">
      <c r="A20" s="112" t="s">
        <v>244</v>
      </c>
      <c r="B20" s="37">
        <v>0.115</v>
      </c>
      <c r="E20" s="5" t="s">
        <v>245</v>
      </c>
      <c r="F20" s="95">
        <f>NPV(B20,E7:E11)+E6</f>
        <v>-729612.04652989493</v>
      </c>
      <c r="H20" s="5" t="s">
        <v>246</v>
      </c>
      <c r="I20" s="38">
        <f>IRR(H6:H11)</f>
        <v>-0.14756233582562428</v>
      </c>
    </row>
    <row r="21" spans="1:13" x14ac:dyDescent="0.25">
      <c r="A21" s="112" t="s">
        <v>247</v>
      </c>
      <c r="B21" s="82">
        <f>-B3</f>
        <v>-500000</v>
      </c>
      <c r="E21" s="1" t="s">
        <v>248</v>
      </c>
      <c r="F21" s="83">
        <f>NPV(B20,E7:E14)+E6</f>
        <v>2638994.3692527311</v>
      </c>
      <c r="H21" s="1" t="s">
        <v>249</v>
      </c>
      <c r="I21" s="77">
        <f>IRR(H6:H14)</f>
        <v>0.35754473165032707</v>
      </c>
    </row>
    <row r="23" spans="1:13" ht="45" customHeight="1" x14ac:dyDescent="0.25">
      <c r="A23" s="110" t="s">
        <v>250</v>
      </c>
      <c r="B23" s="78">
        <f>'Estado de Resultados'!B18</f>
        <v>15.773890846200317</v>
      </c>
    </row>
    <row r="25" spans="1:13" ht="12.75" customHeight="1" x14ac:dyDescent="0.25">
      <c r="D25" s="79" t="s">
        <v>251</v>
      </c>
      <c r="E25" s="80" t="str">
        <f>IF(F20&gt;0,IF(I20&gt;B20,"VIABLE","NO VIABLE"),"NO VIABLE")</f>
        <v>NO VIABLE</v>
      </c>
    </row>
    <row r="26" spans="1:13" x14ac:dyDescent="0.25">
      <c r="D26" s="31" t="s">
        <v>252</v>
      </c>
      <c r="E26" s="31" t="str">
        <f>IF(F21&gt;0,IF(I21&gt;B20,"VIABLE","NO VIABLE"),"NO VIABLE")</f>
        <v>VIABLE</v>
      </c>
    </row>
    <row r="28" spans="1:13" x14ac:dyDescent="0.25">
      <c r="A28" s="139" t="s">
        <v>253</v>
      </c>
      <c r="B28" s="124"/>
      <c r="C28" s="124"/>
      <c r="D28" s="124"/>
      <c r="E28" s="124"/>
      <c r="F28" s="124"/>
    </row>
    <row r="29" spans="1:13" x14ac:dyDescent="0.25">
      <c r="A29" s="124"/>
      <c r="B29" s="124"/>
      <c r="C29" s="124"/>
      <c r="D29" s="124"/>
      <c r="E29" s="124"/>
      <c r="F29" s="124"/>
    </row>
    <row r="30" spans="1:13" x14ac:dyDescent="0.25">
      <c r="A30" s="39"/>
    </row>
    <row r="31" spans="1:13" x14ac:dyDescent="0.25">
      <c r="A31" s="140" t="s">
        <v>254</v>
      </c>
      <c r="B31" s="126"/>
    </row>
    <row r="32" spans="1:13" ht="45" customHeight="1" x14ac:dyDescent="0.25">
      <c r="A32" s="28" t="s">
        <v>174</v>
      </c>
      <c r="B32" s="71" t="s">
        <v>255</v>
      </c>
    </row>
    <row r="33" spans="1:2" x14ac:dyDescent="0.25">
      <c r="A33" s="1">
        <v>1</v>
      </c>
      <c r="B33" s="83">
        <f>NPV($B$20,$E$7:$E7)+$E$6</f>
        <v>-890543.17869885406</v>
      </c>
    </row>
    <row r="34" spans="1:2" x14ac:dyDescent="0.25">
      <c r="A34" s="1">
        <v>2</v>
      </c>
      <c r="B34" s="83">
        <f>NPV($B$20,$E$7:$E8)+$E$6</f>
        <v>-1030868.256017298</v>
      </c>
    </row>
    <row r="35" spans="1:2" x14ac:dyDescent="0.25">
      <c r="A35" s="1">
        <v>3</v>
      </c>
      <c r="B35" s="83">
        <f>NPV($B$20,$E$7:$E9)+$E$6</f>
        <v>-1144369.6356467982</v>
      </c>
    </row>
    <row r="36" spans="1:2" x14ac:dyDescent="0.25">
      <c r="A36" s="1">
        <v>4</v>
      </c>
      <c r="B36" s="83">
        <f>NPV($B$20,$E$7:$E10)+$E$6</f>
        <v>-1052203.2777334652</v>
      </c>
    </row>
    <row r="37" spans="1:2" x14ac:dyDescent="0.25">
      <c r="A37" s="1">
        <v>5</v>
      </c>
      <c r="B37" s="83">
        <f>NPV($B$20,$E$7:$E11)+$E$6</f>
        <v>-729612.04652989493</v>
      </c>
    </row>
    <row r="38" spans="1:2" x14ac:dyDescent="0.25">
      <c r="A38" s="32">
        <v>6</v>
      </c>
      <c r="B38" s="90">
        <f>NPV($B$20,$E$7:$E12)+$E$6</f>
        <v>-34588.599514909845</v>
      </c>
    </row>
    <row r="39" spans="1:2" x14ac:dyDescent="0.25">
      <c r="A39" s="32">
        <v>7</v>
      </c>
      <c r="B39" s="90">
        <f>NPV($B$20,$E$7:$E13)+$E$6</f>
        <v>1047646.4845640354</v>
      </c>
    </row>
    <row r="40" spans="1:2" x14ac:dyDescent="0.25">
      <c r="A40" s="32">
        <v>8</v>
      </c>
      <c r="B40" s="90">
        <f>NPV($B$20,$E$7:$E14)+$E$6</f>
        <v>2638994.3692527311</v>
      </c>
    </row>
  </sheetData>
  <mergeCells count="7">
    <mergeCell ref="G7:G18"/>
    <mergeCell ref="A1:F1"/>
    <mergeCell ref="K4:L4"/>
    <mergeCell ref="A28:F29"/>
    <mergeCell ref="A31:B31"/>
    <mergeCell ref="D7:D18"/>
    <mergeCell ref="K17:L17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5"/>
  <sheetViews>
    <sheetView workbookViewId="0">
      <selection activeCell="J46" sqref="J46"/>
    </sheetView>
  </sheetViews>
  <sheetFormatPr baseColWidth="10" defaultColWidth="9.140625" defaultRowHeight="15" x14ac:dyDescent="0.25"/>
  <cols>
    <col min="1" max="1" width="22" style="104" customWidth="1"/>
    <col min="2" max="2" width="12.42578125" style="104" customWidth="1"/>
    <col min="3" max="3" width="16" style="104" customWidth="1"/>
    <col min="4" max="4" width="14" style="104" customWidth="1"/>
    <col min="5" max="6" width="13" style="104" customWidth="1"/>
    <col min="7" max="7" width="16" style="104" customWidth="1"/>
    <col min="9" max="9" width="8" style="104" customWidth="1"/>
    <col min="10" max="10" width="16" style="104" customWidth="1"/>
    <col min="11" max="11" width="13" style="104" customWidth="1"/>
  </cols>
  <sheetData>
    <row r="1" spans="1:11" ht="18.75" customHeight="1" x14ac:dyDescent="0.3">
      <c r="A1" s="142" t="s">
        <v>256</v>
      </c>
      <c r="B1" s="124"/>
      <c r="C1" s="124"/>
    </row>
    <row r="2" spans="1:11" x14ac:dyDescent="0.25">
      <c r="A2" s="144" t="s">
        <v>257</v>
      </c>
      <c r="B2" s="124"/>
      <c r="C2" s="124"/>
      <c r="D2" s="124"/>
      <c r="E2" s="124"/>
    </row>
    <row r="4" spans="1:11" x14ac:dyDescent="0.25">
      <c r="A4" s="34" t="s">
        <v>258</v>
      </c>
      <c r="B4" s="2">
        <f>'Inversión inicial'!D32</f>
        <v>500000</v>
      </c>
    </row>
    <row r="5" spans="1:11" x14ac:dyDescent="0.25">
      <c r="A5" s="34" t="s">
        <v>259</v>
      </c>
      <c r="B5" s="77">
        <v>0.115</v>
      </c>
    </row>
    <row r="6" spans="1:11" x14ac:dyDescent="0.25">
      <c r="A6" s="34" t="s">
        <v>260</v>
      </c>
      <c r="B6" s="1">
        <v>5</v>
      </c>
    </row>
    <row r="7" spans="1:11" x14ac:dyDescent="0.25">
      <c r="A7" s="34" t="s">
        <v>261</v>
      </c>
      <c r="B7" s="1">
        <v>12</v>
      </c>
    </row>
    <row r="8" spans="1:11" x14ac:dyDescent="0.25">
      <c r="A8" s="28" t="s">
        <v>262</v>
      </c>
      <c r="B8" s="1">
        <f>B6*B7</f>
        <v>60</v>
      </c>
    </row>
    <row r="9" spans="1:11" x14ac:dyDescent="0.25">
      <c r="A9" s="28" t="s">
        <v>263</v>
      </c>
      <c r="B9" s="122">
        <f>B5/B7</f>
        <v>9.5833333333333343E-3</v>
      </c>
    </row>
    <row r="10" spans="1:11" x14ac:dyDescent="0.25">
      <c r="A10" s="28" t="s">
        <v>264</v>
      </c>
      <c r="B10" s="2">
        <f>-PMT(B9,B8,B4)</f>
        <v>10996.303687435198</v>
      </c>
    </row>
    <row r="11" spans="1:11" x14ac:dyDescent="0.25">
      <c r="A11" s="28" t="s">
        <v>265</v>
      </c>
      <c r="B11" s="2">
        <f>B10*B8-B4</f>
        <v>159778.22124611191</v>
      </c>
    </row>
    <row r="14" spans="1:11" x14ac:dyDescent="0.25">
      <c r="A14" s="81" t="s">
        <v>266</v>
      </c>
      <c r="B14" s="81" t="s">
        <v>174</v>
      </c>
      <c r="C14" s="81" t="s">
        <v>267</v>
      </c>
      <c r="D14" s="81" t="s">
        <v>268</v>
      </c>
      <c r="E14" s="81" t="s">
        <v>269</v>
      </c>
      <c r="F14" s="81" t="s">
        <v>270</v>
      </c>
      <c r="G14" s="81" t="s">
        <v>271</v>
      </c>
      <c r="I14" s="143" t="s">
        <v>272</v>
      </c>
      <c r="J14" s="133"/>
      <c r="K14" s="126"/>
    </row>
    <row r="15" spans="1:11" x14ac:dyDescent="0.25">
      <c r="A15" s="1">
        <v>1</v>
      </c>
      <c r="B15" s="1">
        <f t="shared" ref="B15:B46" si="0">ROUNDUP(A15/12,0)</f>
        <v>1</v>
      </c>
      <c r="C15" s="2">
        <f>$B$4</f>
        <v>500000</v>
      </c>
      <c r="D15" s="2">
        <f t="shared" ref="D15:D46" si="1">$B$10</f>
        <v>10996.303687435198</v>
      </c>
      <c r="E15" s="2">
        <f t="shared" ref="E15:E46" si="2">D15-F15</f>
        <v>6204.6370207685313</v>
      </c>
      <c r="F15" s="2">
        <f t="shared" ref="F15:F46" si="3">C15*$B$9</f>
        <v>4791.666666666667</v>
      </c>
      <c r="G15" s="2">
        <f t="shared" ref="G15:G46" si="4">C15-E15</f>
        <v>493795.36297923146</v>
      </c>
      <c r="I15" s="28" t="s">
        <v>174</v>
      </c>
      <c r="J15" s="28" t="s">
        <v>273</v>
      </c>
      <c r="K15" s="28" t="s">
        <v>274</v>
      </c>
    </row>
    <row r="16" spans="1:11" x14ac:dyDescent="0.25">
      <c r="A16" s="1">
        <v>2</v>
      </c>
      <c r="B16" s="1">
        <f t="shared" si="0"/>
        <v>1</v>
      </c>
      <c r="C16" s="2">
        <f t="shared" ref="C16:C47" si="5">G15</f>
        <v>493795.36297923146</v>
      </c>
      <c r="D16" s="2">
        <f t="shared" si="1"/>
        <v>10996.303687435198</v>
      </c>
      <c r="E16" s="2">
        <f t="shared" si="2"/>
        <v>6264.0981255508959</v>
      </c>
      <c r="F16" s="2">
        <f t="shared" si="3"/>
        <v>4732.2055618843024</v>
      </c>
      <c r="G16" s="2">
        <f t="shared" si="4"/>
        <v>487531.26485368056</v>
      </c>
      <c r="I16" s="1">
        <v>1</v>
      </c>
      <c r="J16" s="2">
        <f t="shared" ref="J16:J23" si="6">SUMIF($B$15:$B$74,I16,$F$15:$F$74)</f>
        <v>53447.458181884329</v>
      </c>
      <c r="K16" s="2">
        <f t="shared" ref="K16:K23" si="7">SUMIF($B$15:$B$74,I16,$E$15:$E$74)</f>
        <v>78508.186067338058</v>
      </c>
    </row>
    <row r="17" spans="1:11" x14ac:dyDescent="0.25">
      <c r="A17" s="1">
        <v>3</v>
      </c>
      <c r="B17" s="1">
        <f t="shared" si="0"/>
        <v>1</v>
      </c>
      <c r="C17" s="2">
        <f t="shared" si="5"/>
        <v>487531.26485368056</v>
      </c>
      <c r="D17" s="2">
        <f t="shared" si="1"/>
        <v>10996.303687435198</v>
      </c>
      <c r="E17" s="2">
        <f t="shared" si="2"/>
        <v>6324.1290659207589</v>
      </c>
      <c r="F17" s="2">
        <f t="shared" si="3"/>
        <v>4672.1746215144394</v>
      </c>
      <c r="G17" s="2">
        <f t="shared" si="4"/>
        <v>481207.13578775979</v>
      </c>
      <c r="I17" s="1">
        <v>2</v>
      </c>
      <c r="J17" s="2">
        <f t="shared" si="6"/>
        <v>43927.60828602453</v>
      </c>
      <c r="K17" s="2">
        <f t="shared" si="7"/>
        <v>88028.03596319785</v>
      </c>
    </row>
    <row r="18" spans="1:11" x14ac:dyDescent="0.25">
      <c r="A18" s="1">
        <v>4</v>
      </c>
      <c r="B18" s="1">
        <f t="shared" si="0"/>
        <v>1</v>
      </c>
      <c r="C18" s="2">
        <f t="shared" si="5"/>
        <v>481207.13578775979</v>
      </c>
      <c r="D18" s="2">
        <f t="shared" si="1"/>
        <v>10996.303687435198</v>
      </c>
      <c r="E18" s="2">
        <f t="shared" si="2"/>
        <v>6384.7353028025</v>
      </c>
      <c r="F18" s="2">
        <f t="shared" si="3"/>
        <v>4611.5683846326983</v>
      </c>
      <c r="G18" s="2">
        <f t="shared" si="4"/>
        <v>474822.40048495727</v>
      </c>
      <c r="I18" s="1">
        <v>3</v>
      </c>
      <c r="J18" s="2">
        <f t="shared" si="6"/>
        <v>33253.387787818014</v>
      </c>
      <c r="K18" s="2">
        <f t="shared" si="7"/>
        <v>98702.256461404351</v>
      </c>
    </row>
    <row r="19" spans="1:11" x14ac:dyDescent="0.25">
      <c r="A19" s="1">
        <v>5</v>
      </c>
      <c r="B19" s="1">
        <f t="shared" si="0"/>
        <v>1</v>
      </c>
      <c r="C19" s="2">
        <f t="shared" si="5"/>
        <v>474822.40048495727</v>
      </c>
      <c r="D19" s="2">
        <f t="shared" si="1"/>
        <v>10996.303687435198</v>
      </c>
      <c r="E19" s="2">
        <f t="shared" si="2"/>
        <v>6445.9223494543576</v>
      </c>
      <c r="F19" s="2">
        <f t="shared" si="3"/>
        <v>4550.3813379808407</v>
      </c>
      <c r="G19" s="2">
        <f t="shared" si="4"/>
        <v>468376.4781355029</v>
      </c>
      <c r="I19" s="1">
        <v>4</v>
      </c>
      <c r="J19" s="2">
        <f t="shared" si="6"/>
        <v>21284.818483601928</v>
      </c>
      <c r="K19" s="2">
        <f t="shared" si="7"/>
        <v>110670.82576562047</v>
      </c>
    </row>
    <row r="20" spans="1:11" x14ac:dyDescent="0.25">
      <c r="A20" s="1">
        <v>6</v>
      </c>
      <c r="B20" s="1">
        <f t="shared" si="0"/>
        <v>1</v>
      </c>
      <c r="C20" s="2">
        <f t="shared" si="5"/>
        <v>468376.4781355029</v>
      </c>
      <c r="D20" s="2">
        <f t="shared" si="1"/>
        <v>10996.303687435198</v>
      </c>
      <c r="E20" s="2">
        <f t="shared" si="2"/>
        <v>6507.6957719699622</v>
      </c>
      <c r="F20" s="2">
        <f t="shared" si="3"/>
        <v>4488.6079154652361</v>
      </c>
      <c r="G20" s="2">
        <f t="shared" si="4"/>
        <v>461868.78236353293</v>
      </c>
      <c r="I20" s="1">
        <v>5</v>
      </c>
      <c r="J20" s="2">
        <f t="shared" si="6"/>
        <v>7864.9485067833057</v>
      </c>
      <c r="K20" s="2">
        <f t="shared" si="7"/>
        <v>124090.69574243907</v>
      </c>
    </row>
    <row r="21" spans="1:11" x14ac:dyDescent="0.25">
      <c r="A21" s="1">
        <v>7</v>
      </c>
      <c r="B21" s="1">
        <f t="shared" si="0"/>
        <v>1</v>
      </c>
      <c r="C21" s="2">
        <f t="shared" si="5"/>
        <v>461868.78236353293</v>
      </c>
      <c r="D21" s="2">
        <f t="shared" si="1"/>
        <v>10996.303687435198</v>
      </c>
      <c r="E21" s="2">
        <f t="shared" si="2"/>
        <v>6570.0611897846738</v>
      </c>
      <c r="F21" s="2">
        <f t="shared" si="3"/>
        <v>4426.2424976505245</v>
      </c>
      <c r="G21" s="2">
        <f t="shared" si="4"/>
        <v>455298.72117374826</v>
      </c>
      <c r="I21" s="1">
        <v>6</v>
      </c>
      <c r="J21" s="2">
        <f t="shared" si="6"/>
        <v>0</v>
      </c>
      <c r="K21" s="2">
        <f t="shared" si="7"/>
        <v>0</v>
      </c>
    </row>
    <row r="22" spans="1:11" x14ac:dyDescent="0.25">
      <c r="A22" s="1">
        <v>8</v>
      </c>
      <c r="B22" s="1">
        <f t="shared" si="0"/>
        <v>1</v>
      </c>
      <c r="C22" s="2">
        <f t="shared" si="5"/>
        <v>455298.72117374826</v>
      </c>
      <c r="D22" s="2">
        <f t="shared" si="1"/>
        <v>10996.303687435198</v>
      </c>
      <c r="E22" s="2">
        <f t="shared" si="2"/>
        <v>6633.0242761867767</v>
      </c>
      <c r="F22" s="2">
        <f t="shared" si="3"/>
        <v>4363.2794112484216</v>
      </c>
      <c r="G22" s="2">
        <f t="shared" si="4"/>
        <v>448665.69689756149</v>
      </c>
      <c r="I22" s="1">
        <v>7</v>
      </c>
      <c r="J22" s="2">
        <f t="shared" si="6"/>
        <v>0</v>
      </c>
      <c r="K22" s="2">
        <f t="shared" si="7"/>
        <v>0</v>
      </c>
    </row>
    <row r="23" spans="1:11" x14ac:dyDescent="0.25">
      <c r="A23" s="1">
        <v>9</v>
      </c>
      <c r="B23" s="1">
        <f t="shared" si="0"/>
        <v>1</v>
      </c>
      <c r="C23" s="2">
        <f t="shared" si="5"/>
        <v>448665.69689756149</v>
      </c>
      <c r="D23" s="2">
        <f t="shared" si="1"/>
        <v>10996.303687435198</v>
      </c>
      <c r="E23" s="2">
        <f t="shared" si="2"/>
        <v>6696.5907588335667</v>
      </c>
      <c r="F23" s="2">
        <f t="shared" si="3"/>
        <v>4299.7129286016316</v>
      </c>
      <c r="G23" s="2">
        <f t="shared" si="4"/>
        <v>441969.10613872792</v>
      </c>
      <c r="I23" s="1">
        <v>8</v>
      </c>
      <c r="J23" s="2">
        <f t="shared" si="6"/>
        <v>0</v>
      </c>
      <c r="K23" s="2">
        <f t="shared" si="7"/>
        <v>0</v>
      </c>
    </row>
    <row r="24" spans="1:11" x14ac:dyDescent="0.25">
      <c r="A24" s="1">
        <v>10</v>
      </c>
      <c r="B24" s="1">
        <f t="shared" si="0"/>
        <v>1</v>
      </c>
      <c r="C24" s="2">
        <f t="shared" si="5"/>
        <v>441969.10613872792</v>
      </c>
      <c r="D24" s="2">
        <f t="shared" si="1"/>
        <v>10996.303687435198</v>
      </c>
      <c r="E24" s="2">
        <f t="shared" si="2"/>
        <v>6760.766420272389</v>
      </c>
      <c r="F24" s="2">
        <f t="shared" si="3"/>
        <v>4235.5372671628093</v>
      </c>
      <c r="G24" s="2">
        <f t="shared" si="4"/>
        <v>435208.33971845551</v>
      </c>
    </row>
    <row r="25" spans="1:11" x14ac:dyDescent="0.25">
      <c r="A25" s="1">
        <v>11</v>
      </c>
      <c r="B25" s="1">
        <f t="shared" si="0"/>
        <v>1</v>
      </c>
      <c r="C25" s="2">
        <f t="shared" si="5"/>
        <v>435208.33971845551</v>
      </c>
      <c r="D25" s="2">
        <f t="shared" si="1"/>
        <v>10996.303687435198</v>
      </c>
      <c r="E25" s="2">
        <f t="shared" si="2"/>
        <v>6825.5570984666656</v>
      </c>
      <c r="F25" s="2">
        <f t="shared" si="3"/>
        <v>4170.7465889685327</v>
      </c>
      <c r="G25" s="2">
        <f t="shared" si="4"/>
        <v>428382.78261998884</v>
      </c>
    </row>
    <row r="26" spans="1:11" x14ac:dyDescent="0.25">
      <c r="A26" s="1">
        <v>12</v>
      </c>
      <c r="B26" s="1">
        <f t="shared" si="0"/>
        <v>1</v>
      </c>
      <c r="C26" s="2">
        <f t="shared" si="5"/>
        <v>428382.78261998884</v>
      </c>
      <c r="D26" s="2">
        <f t="shared" si="1"/>
        <v>10996.303687435198</v>
      </c>
      <c r="E26" s="2">
        <f t="shared" si="2"/>
        <v>6890.9686873269711</v>
      </c>
      <c r="F26" s="2">
        <f t="shared" si="3"/>
        <v>4105.3350001082272</v>
      </c>
      <c r="G26" s="2">
        <f t="shared" si="4"/>
        <v>421491.81393266184</v>
      </c>
    </row>
    <row r="27" spans="1:11" x14ac:dyDescent="0.25">
      <c r="A27" s="1">
        <v>13</v>
      </c>
      <c r="B27" s="1">
        <f t="shared" si="0"/>
        <v>2</v>
      </c>
      <c r="C27" s="2">
        <f t="shared" si="5"/>
        <v>421491.81393266184</v>
      </c>
      <c r="D27" s="2">
        <f t="shared" si="1"/>
        <v>10996.303687435198</v>
      </c>
      <c r="E27" s="2">
        <f t="shared" si="2"/>
        <v>6957.0071372471884</v>
      </c>
      <c r="F27" s="2">
        <f t="shared" si="3"/>
        <v>4039.2965501880099</v>
      </c>
      <c r="G27" s="2">
        <f t="shared" si="4"/>
        <v>414534.80679541465</v>
      </c>
    </row>
    <row r="28" spans="1:11" x14ac:dyDescent="0.25">
      <c r="A28" s="1">
        <v>14</v>
      </c>
      <c r="B28" s="1">
        <f t="shared" si="0"/>
        <v>2</v>
      </c>
      <c r="C28" s="2">
        <f t="shared" si="5"/>
        <v>414534.80679541465</v>
      </c>
      <c r="D28" s="2">
        <f t="shared" si="1"/>
        <v>10996.303687435198</v>
      </c>
      <c r="E28" s="2">
        <f t="shared" si="2"/>
        <v>7023.6784556458078</v>
      </c>
      <c r="F28" s="2">
        <f t="shared" si="3"/>
        <v>3972.6252317893909</v>
      </c>
      <c r="G28" s="2">
        <f t="shared" si="4"/>
        <v>407511.12833976885</v>
      </c>
    </row>
    <row r="29" spans="1:11" x14ac:dyDescent="0.25">
      <c r="A29" s="1">
        <v>15</v>
      </c>
      <c r="B29" s="1">
        <f t="shared" si="0"/>
        <v>2</v>
      </c>
      <c r="C29" s="2">
        <f t="shared" si="5"/>
        <v>407511.12833976885</v>
      </c>
      <c r="D29" s="2">
        <f t="shared" si="1"/>
        <v>10996.303687435198</v>
      </c>
      <c r="E29" s="2">
        <f t="shared" si="2"/>
        <v>7090.9887075124134</v>
      </c>
      <c r="F29" s="2">
        <f t="shared" si="3"/>
        <v>3905.3149799227854</v>
      </c>
      <c r="G29" s="2">
        <f t="shared" si="4"/>
        <v>400420.13963225647</v>
      </c>
    </row>
    <row r="30" spans="1:11" x14ac:dyDescent="0.25">
      <c r="A30" s="1">
        <v>16</v>
      </c>
      <c r="B30" s="1">
        <f t="shared" si="0"/>
        <v>2</v>
      </c>
      <c r="C30" s="2">
        <f t="shared" si="5"/>
        <v>400420.13963225647</v>
      </c>
      <c r="D30" s="2">
        <f t="shared" si="1"/>
        <v>10996.303687435198</v>
      </c>
      <c r="E30" s="2">
        <f t="shared" si="2"/>
        <v>7158.9440159594069</v>
      </c>
      <c r="F30" s="2">
        <f t="shared" si="3"/>
        <v>3837.3596714757914</v>
      </c>
      <c r="G30" s="2">
        <f t="shared" si="4"/>
        <v>393261.19561629707</v>
      </c>
    </row>
    <row r="31" spans="1:11" x14ac:dyDescent="0.25">
      <c r="A31" s="1">
        <v>17</v>
      </c>
      <c r="B31" s="1">
        <f t="shared" si="0"/>
        <v>2</v>
      </c>
      <c r="C31" s="2">
        <f t="shared" si="5"/>
        <v>393261.19561629707</v>
      </c>
      <c r="D31" s="2">
        <f t="shared" si="1"/>
        <v>10996.303687435198</v>
      </c>
      <c r="E31" s="2">
        <f t="shared" si="2"/>
        <v>7227.5505627790171</v>
      </c>
      <c r="F31" s="2">
        <f t="shared" si="3"/>
        <v>3768.7531246561807</v>
      </c>
      <c r="G31" s="2">
        <f t="shared" si="4"/>
        <v>386033.64505351806</v>
      </c>
    </row>
    <row r="32" spans="1:11" x14ac:dyDescent="0.25">
      <c r="A32" s="1">
        <v>18</v>
      </c>
      <c r="B32" s="1">
        <f t="shared" si="0"/>
        <v>2</v>
      </c>
      <c r="C32" s="2">
        <f t="shared" si="5"/>
        <v>386033.64505351806</v>
      </c>
      <c r="D32" s="2">
        <f t="shared" si="1"/>
        <v>10996.303687435198</v>
      </c>
      <c r="E32" s="2">
        <f t="shared" si="2"/>
        <v>7296.8145890056494</v>
      </c>
      <c r="F32" s="2">
        <f t="shared" si="3"/>
        <v>3699.4890984295484</v>
      </c>
      <c r="G32" s="2">
        <f t="shared" si="4"/>
        <v>378736.8304645124</v>
      </c>
    </row>
    <row r="33" spans="1:7" x14ac:dyDescent="0.25">
      <c r="A33" s="1">
        <v>19</v>
      </c>
      <c r="B33" s="1">
        <f t="shared" si="0"/>
        <v>2</v>
      </c>
      <c r="C33" s="2">
        <f t="shared" si="5"/>
        <v>378736.8304645124</v>
      </c>
      <c r="D33" s="2">
        <f t="shared" si="1"/>
        <v>10996.303687435198</v>
      </c>
      <c r="E33" s="2">
        <f t="shared" si="2"/>
        <v>7366.7423954836213</v>
      </c>
      <c r="F33" s="2">
        <f t="shared" si="3"/>
        <v>3629.5612919515775</v>
      </c>
      <c r="G33" s="2">
        <f t="shared" si="4"/>
        <v>371370.0880690288</v>
      </c>
    </row>
    <row r="34" spans="1:7" x14ac:dyDescent="0.25">
      <c r="A34" s="1">
        <v>20</v>
      </c>
      <c r="B34" s="1">
        <f t="shared" si="0"/>
        <v>2</v>
      </c>
      <c r="C34" s="2">
        <f t="shared" si="5"/>
        <v>371370.0880690288</v>
      </c>
      <c r="D34" s="2">
        <f t="shared" si="1"/>
        <v>10996.303687435198</v>
      </c>
      <c r="E34" s="2">
        <f t="shared" si="2"/>
        <v>7437.340343440339</v>
      </c>
      <c r="F34" s="2">
        <f t="shared" si="3"/>
        <v>3558.9633439948598</v>
      </c>
      <c r="G34" s="2">
        <f t="shared" si="4"/>
        <v>363932.74772558844</v>
      </c>
    </row>
    <row r="35" spans="1:7" x14ac:dyDescent="0.25">
      <c r="A35" s="1">
        <v>21</v>
      </c>
      <c r="B35" s="1">
        <f t="shared" si="0"/>
        <v>2</v>
      </c>
      <c r="C35" s="2">
        <f t="shared" si="5"/>
        <v>363932.74772558844</v>
      </c>
      <c r="D35" s="2">
        <f t="shared" si="1"/>
        <v>10996.303687435198</v>
      </c>
      <c r="E35" s="2">
        <f t="shared" si="2"/>
        <v>7508.6148550649759</v>
      </c>
      <c r="F35" s="2">
        <f t="shared" si="3"/>
        <v>3487.6888323702228</v>
      </c>
      <c r="G35" s="2">
        <f t="shared" si="4"/>
        <v>356424.13287052349</v>
      </c>
    </row>
    <row r="36" spans="1:7" x14ac:dyDescent="0.25">
      <c r="A36" s="1">
        <v>22</v>
      </c>
      <c r="B36" s="1">
        <f t="shared" si="0"/>
        <v>2</v>
      </c>
      <c r="C36" s="2">
        <f t="shared" si="5"/>
        <v>356424.13287052349</v>
      </c>
      <c r="D36" s="2">
        <f t="shared" si="1"/>
        <v>10996.303687435198</v>
      </c>
      <c r="E36" s="2">
        <f t="shared" si="2"/>
        <v>7580.5724140926814</v>
      </c>
      <c r="F36" s="2">
        <f t="shared" si="3"/>
        <v>3415.7312733425169</v>
      </c>
      <c r="G36" s="2">
        <f t="shared" si="4"/>
        <v>348843.56045643083</v>
      </c>
    </row>
    <row r="37" spans="1:7" x14ac:dyDescent="0.25">
      <c r="A37" s="1">
        <v>23</v>
      </c>
      <c r="B37" s="1">
        <f t="shared" si="0"/>
        <v>2</v>
      </c>
      <c r="C37" s="2">
        <f t="shared" si="5"/>
        <v>348843.56045643083</v>
      </c>
      <c r="D37" s="2">
        <f t="shared" si="1"/>
        <v>10996.303687435198</v>
      </c>
      <c r="E37" s="2">
        <f t="shared" si="2"/>
        <v>7653.2195663944021</v>
      </c>
      <c r="F37" s="2">
        <f t="shared" si="3"/>
        <v>3343.0841210407957</v>
      </c>
      <c r="G37" s="2">
        <f t="shared" si="4"/>
        <v>341190.34089003643</v>
      </c>
    </row>
    <row r="38" spans="1:7" x14ac:dyDescent="0.25">
      <c r="A38" s="1">
        <v>24</v>
      </c>
      <c r="B38" s="1">
        <f t="shared" si="0"/>
        <v>2</v>
      </c>
      <c r="C38" s="2">
        <f t="shared" si="5"/>
        <v>341190.34089003643</v>
      </c>
      <c r="D38" s="2">
        <f t="shared" si="1"/>
        <v>10996.303687435198</v>
      </c>
      <c r="E38" s="2">
        <f t="shared" si="2"/>
        <v>7726.562920572349</v>
      </c>
      <c r="F38" s="2">
        <f t="shared" si="3"/>
        <v>3269.7407668628493</v>
      </c>
      <c r="G38" s="2">
        <f t="shared" si="4"/>
        <v>333463.77796946408</v>
      </c>
    </row>
    <row r="39" spans="1:7" x14ac:dyDescent="0.25">
      <c r="A39" s="1">
        <v>25</v>
      </c>
      <c r="B39" s="1">
        <f t="shared" si="0"/>
        <v>3</v>
      </c>
      <c r="C39" s="2">
        <f t="shared" si="5"/>
        <v>333463.77796946408</v>
      </c>
      <c r="D39" s="2">
        <f t="shared" si="1"/>
        <v>10996.303687435198</v>
      </c>
      <c r="E39" s="2">
        <f t="shared" si="2"/>
        <v>7800.6091485611669</v>
      </c>
      <c r="F39" s="2">
        <f t="shared" si="3"/>
        <v>3195.694538874031</v>
      </c>
      <c r="G39" s="2">
        <f t="shared" si="4"/>
        <v>325663.16882090294</v>
      </c>
    </row>
    <row r="40" spans="1:7" x14ac:dyDescent="0.25">
      <c r="A40" s="1">
        <v>26</v>
      </c>
      <c r="B40" s="1">
        <f t="shared" si="0"/>
        <v>3</v>
      </c>
      <c r="C40" s="2">
        <f t="shared" si="5"/>
        <v>325663.16882090294</v>
      </c>
      <c r="D40" s="2">
        <f t="shared" si="1"/>
        <v>10996.303687435198</v>
      </c>
      <c r="E40" s="2">
        <f t="shared" si="2"/>
        <v>7875.3649862348775</v>
      </c>
      <c r="F40" s="2">
        <f t="shared" si="3"/>
        <v>3120.9387012003203</v>
      </c>
      <c r="G40" s="2">
        <f t="shared" si="4"/>
        <v>317787.80383466807</v>
      </c>
    </row>
    <row r="41" spans="1:7" x14ac:dyDescent="0.25">
      <c r="A41" s="1">
        <v>27</v>
      </c>
      <c r="B41" s="1">
        <f t="shared" si="0"/>
        <v>3</v>
      </c>
      <c r="C41" s="2">
        <f t="shared" si="5"/>
        <v>317787.80383466807</v>
      </c>
      <c r="D41" s="2">
        <f t="shared" si="1"/>
        <v>10996.303687435198</v>
      </c>
      <c r="E41" s="2">
        <f t="shared" si="2"/>
        <v>7950.8372340196292</v>
      </c>
      <c r="F41" s="2">
        <f t="shared" si="3"/>
        <v>3045.4664534155695</v>
      </c>
      <c r="G41" s="2">
        <f t="shared" si="4"/>
        <v>309836.96660064842</v>
      </c>
    </row>
    <row r="42" spans="1:7" x14ac:dyDescent="0.25">
      <c r="A42" s="1">
        <v>28</v>
      </c>
      <c r="B42" s="1">
        <f t="shared" si="0"/>
        <v>3</v>
      </c>
      <c r="C42" s="2">
        <f t="shared" si="5"/>
        <v>309836.96660064842</v>
      </c>
      <c r="D42" s="2">
        <f t="shared" si="1"/>
        <v>10996.303687435198</v>
      </c>
      <c r="E42" s="2">
        <f t="shared" si="2"/>
        <v>8027.0327575123174</v>
      </c>
      <c r="F42" s="2">
        <f t="shared" si="3"/>
        <v>2969.2709299228809</v>
      </c>
      <c r="G42" s="2">
        <f t="shared" si="4"/>
        <v>301809.93384313612</v>
      </c>
    </row>
    <row r="43" spans="1:7" x14ac:dyDescent="0.25">
      <c r="A43" s="1">
        <v>29</v>
      </c>
      <c r="B43" s="1">
        <f t="shared" si="0"/>
        <v>3</v>
      </c>
      <c r="C43" s="2">
        <f t="shared" si="5"/>
        <v>301809.93384313612</v>
      </c>
      <c r="D43" s="2">
        <f t="shared" si="1"/>
        <v>10996.303687435198</v>
      </c>
      <c r="E43" s="2">
        <f t="shared" si="2"/>
        <v>8103.9584881051433</v>
      </c>
      <c r="F43" s="2">
        <f t="shared" si="3"/>
        <v>2892.345199330055</v>
      </c>
      <c r="G43" s="2">
        <f t="shared" si="4"/>
        <v>293705.97535503097</v>
      </c>
    </row>
    <row r="44" spans="1:7" x14ac:dyDescent="0.25">
      <c r="A44" s="1">
        <v>30</v>
      </c>
      <c r="B44" s="1">
        <f t="shared" si="0"/>
        <v>3</v>
      </c>
      <c r="C44" s="2">
        <f t="shared" si="5"/>
        <v>293705.97535503097</v>
      </c>
      <c r="D44" s="2">
        <f t="shared" si="1"/>
        <v>10996.303687435198</v>
      </c>
      <c r="E44" s="2">
        <f t="shared" si="2"/>
        <v>8181.6214236161513</v>
      </c>
      <c r="F44" s="2">
        <f t="shared" si="3"/>
        <v>2814.682263819047</v>
      </c>
      <c r="G44" s="2">
        <f t="shared" si="4"/>
        <v>285524.35393141484</v>
      </c>
    </row>
    <row r="45" spans="1:7" x14ac:dyDescent="0.25">
      <c r="A45" s="1">
        <v>31</v>
      </c>
      <c r="B45" s="1">
        <f t="shared" si="0"/>
        <v>3</v>
      </c>
      <c r="C45" s="2">
        <f t="shared" si="5"/>
        <v>285524.35393141484</v>
      </c>
      <c r="D45" s="2">
        <f t="shared" si="1"/>
        <v>10996.303687435198</v>
      </c>
      <c r="E45" s="2">
        <f t="shared" si="2"/>
        <v>8260.0286289258056</v>
      </c>
      <c r="F45" s="2">
        <f t="shared" si="3"/>
        <v>2736.2750585093927</v>
      </c>
      <c r="G45" s="2">
        <f t="shared" si="4"/>
        <v>277264.32530248904</v>
      </c>
    </row>
    <row r="46" spans="1:7" x14ac:dyDescent="0.25">
      <c r="A46" s="1">
        <v>32</v>
      </c>
      <c r="B46" s="1">
        <f t="shared" si="0"/>
        <v>3</v>
      </c>
      <c r="C46" s="2">
        <f t="shared" si="5"/>
        <v>277264.32530248904</v>
      </c>
      <c r="D46" s="2">
        <f t="shared" si="1"/>
        <v>10996.303687435198</v>
      </c>
      <c r="E46" s="2">
        <f t="shared" si="2"/>
        <v>8339.1872366196785</v>
      </c>
      <c r="F46" s="2">
        <f t="shared" si="3"/>
        <v>2657.1164508155202</v>
      </c>
      <c r="G46" s="2">
        <f t="shared" si="4"/>
        <v>268925.13806586934</v>
      </c>
    </row>
    <row r="47" spans="1:7" x14ac:dyDescent="0.25">
      <c r="A47" s="1">
        <v>33</v>
      </c>
      <c r="B47" s="1">
        <f t="shared" ref="B47:B78" si="8">ROUNDUP(A47/12,0)</f>
        <v>3</v>
      </c>
      <c r="C47" s="2">
        <f t="shared" si="5"/>
        <v>268925.13806586934</v>
      </c>
      <c r="D47" s="2">
        <f t="shared" ref="D47:D74" si="9">$B$10</f>
        <v>10996.303687435198</v>
      </c>
      <c r="E47" s="2">
        <f t="shared" ref="E47:E78" si="10">D47-F47</f>
        <v>8419.1044476372845</v>
      </c>
      <c r="F47" s="2">
        <f t="shared" ref="F47:F74" si="11">C47*$B$9</f>
        <v>2577.1992397979147</v>
      </c>
      <c r="G47" s="2">
        <f t="shared" ref="G47:G74" si="12">C47-E47</f>
        <v>260506.03361823206</v>
      </c>
    </row>
    <row r="48" spans="1:7" x14ac:dyDescent="0.25">
      <c r="A48" s="1">
        <v>34</v>
      </c>
      <c r="B48" s="1">
        <f t="shared" si="8"/>
        <v>3</v>
      </c>
      <c r="C48" s="2">
        <f t="shared" ref="C48:C74" si="13">G47</f>
        <v>260506.03361823206</v>
      </c>
      <c r="D48" s="2">
        <f t="shared" si="9"/>
        <v>10996.303687435198</v>
      </c>
      <c r="E48" s="2">
        <f t="shared" si="10"/>
        <v>8499.7875319271407</v>
      </c>
      <c r="F48" s="2">
        <f t="shared" si="11"/>
        <v>2496.5161555080576</v>
      </c>
      <c r="G48" s="2">
        <f t="shared" si="12"/>
        <v>252006.24608630492</v>
      </c>
    </row>
    <row r="49" spans="1:7" x14ac:dyDescent="0.25">
      <c r="A49" s="1">
        <v>35</v>
      </c>
      <c r="B49" s="1">
        <f t="shared" si="8"/>
        <v>3</v>
      </c>
      <c r="C49" s="2">
        <f t="shared" si="13"/>
        <v>252006.24608630492</v>
      </c>
      <c r="D49" s="2">
        <f t="shared" si="9"/>
        <v>10996.303687435198</v>
      </c>
      <c r="E49" s="2">
        <f t="shared" si="10"/>
        <v>8581.2438291081089</v>
      </c>
      <c r="F49" s="2">
        <f t="shared" si="11"/>
        <v>2415.0598583270889</v>
      </c>
      <c r="G49" s="2">
        <f t="shared" si="12"/>
        <v>243425.00225719681</v>
      </c>
    </row>
    <row r="50" spans="1:7" x14ac:dyDescent="0.25">
      <c r="A50" s="1">
        <v>36</v>
      </c>
      <c r="B50" s="1">
        <f t="shared" si="8"/>
        <v>3</v>
      </c>
      <c r="C50" s="2">
        <f t="shared" si="13"/>
        <v>243425.00225719681</v>
      </c>
      <c r="D50" s="2">
        <f t="shared" si="9"/>
        <v>10996.303687435198</v>
      </c>
      <c r="E50" s="2">
        <f t="shared" si="10"/>
        <v>8663.480749137063</v>
      </c>
      <c r="F50" s="2">
        <f t="shared" si="11"/>
        <v>2332.8229382981363</v>
      </c>
      <c r="G50" s="2">
        <f t="shared" si="12"/>
        <v>234761.52150805976</v>
      </c>
    </row>
    <row r="51" spans="1:7" x14ac:dyDescent="0.25">
      <c r="A51" s="1">
        <v>37</v>
      </c>
      <c r="B51" s="1">
        <f t="shared" si="8"/>
        <v>4</v>
      </c>
      <c r="C51" s="2">
        <f t="shared" si="13"/>
        <v>234761.52150805976</v>
      </c>
      <c r="D51" s="2">
        <f t="shared" si="9"/>
        <v>10996.303687435198</v>
      </c>
      <c r="E51" s="2">
        <f t="shared" si="10"/>
        <v>8746.5057729829587</v>
      </c>
      <c r="F51" s="2">
        <f t="shared" si="11"/>
        <v>2249.7979144522396</v>
      </c>
      <c r="G51" s="2">
        <f t="shared" si="12"/>
        <v>226015.0157350768</v>
      </c>
    </row>
    <row r="52" spans="1:7" x14ac:dyDescent="0.25">
      <c r="A52" s="1">
        <v>38</v>
      </c>
      <c r="B52" s="1">
        <f t="shared" si="8"/>
        <v>4</v>
      </c>
      <c r="C52" s="2">
        <f t="shared" si="13"/>
        <v>226015.0157350768</v>
      </c>
      <c r="D52" s="2">
        <f t="shared" si="9"/>
        <v>10996.303687435198</v>
      </c>
      <c r="E52" s="2">
        <f t="shared" si="10"/>
        <v>8830.326453307378</v>
      </c>
      <c r="F52" s="2">
        <f t="shared" si="11"/>
        <v>2165.9772341278194</v>
      </c>
      <c r="G52" s="2">
        <f t="shared" si="12"/>
        <v>217184.68928176942</v>
      </c>
    </row>
    <row r="53" spans="1:7" x14ac:dyDescent="0.25">
      <c r="A53" s="1">
        <v>39</v>
      </c>
      <c r="B53" s="1">
        <f t="shared" si="8"/>
        <v>4</v>
      </c>
      <c r="C53" s="2">
        <f t="shared" si="13"/>
        <v>217184.68928176942</v>
      </c>
      <c r="D53" s="2">
        <f t="shared" si="9"/>
        <v>10996.303687435198</v>
      </c>
      <c r="E53" s="2">
        <f t="shared" si="10"/>
        <v>8914.9504151515739</v>
      </c>
      <c r="F53" s="2">
        <f t="shared" si="11"/>
        <v>2081.3532722836239</v>
      </c>
      <c r="G53" s="2">
        <f t="shared" si="12"/>
        <v>208269.73886661784</v>
      </c>
    </row>
    <row r="54" spans="1:7" x14ac:dyDescent="0.25">
      <c r="A54" s="1">
        <v>40</v>
      </c>
      <c r="B54" s="1">
        <f t="shared" si="8"/>
        <v>4</v>
      </c>
      <c r="C54" s="2">
        <f t="shared" si="13"/>
        <v>208269.73886661784</v>
      </c>
      <c r="D54" s="2">
        <f t="shared" si="9"/>
        <v>10996.303687435198</v>
      </c>
      <c r="E54" s="2">
        <f t="shared" si="10"/>
        <v>9000.3853566301113</v>
      </c>
      <c r="F54" s="2">
        <f t="shared" si="11"/>
        <v>1995.9183308050879</v>
      </c>
      <c r="G54" s="2">
        <f t="shared" si="12"/>
        <v>199269.35350998773</v>
      </c>
    </row>
    <row r="55" spans="1:7" x14ac:dyDescent="0.25">
      <c r="A55" s="1">
        <v>41</v>
      </c>
      <c r="B55" s="1">
        <f t="shared" si="8"/>
        <v>4</v>
      </c>
      <c r="C55" s="2">
        <f t="shared" si="13"/>
        <v>199269.35350998773</v>
      </c>
      <c r="D55" s="2">
        <f t="shared" si="9"/>
        <v>10996.303687435198</v>
      </c>
      <c r="E55" s="2">
        <f t="shared" si="10"/>
        <v>9086.6390496311487</v>
      </c>
      <c r="F55" s="2">
        <f t="shared" si="11"/>
        <v>1909.6646378040493</v>
      </c>
      <c r="G55" s="2">
        <f t="shared" si="12"/>
        <v>190182.7144603566</v>
      </c>
    </row>
    <row r="56" spans="1:7" x14ac:dyDescent="0.25">
      <c r="A56" s="1">
        <v>42</v>
      </c>
      <c r="B56" s="1">
        <f t="shared" si="8"/>
        <v>4</v>
      </c>
      <c r="C56" s="2">
        <f t="shared" si="13"/>
        <v>190182.7144603566</v>
      </c>
      <c r="D56" s="2">
        <f t="shared" si="9"/>
        <v>10996.303687435198</v>
      </c>
      <c r="E56" s="2">
        <f t="shared" si="10"/>
        <v>9173.7193405234466</v>
      </c>
      <c r="F56" s="2">
        <f t="shared" si="11"/>
        <v>1822.584346911751</v>
      </c>
      <c r="G56" s="2">
        <f t="shared" si="12"/>
        <v>181008.99511983315</v>
      </c>
    </row>
    <row r="57" spans="1:7" x14ac:dyDescent="0.25">
      <c r="A57" s="1">
        <v>43</v>
      </c>
      <c r="B57" s="1">
        <f t="shared" si="8"/>
        <v>4</v>
      </c>
      <c r="C57" s="2">
        <f t="shared" si="13"/>
        <v>181008.99511983315</v>
      </c>
      <c r="D57" s="2">
        <f t="shared" si="9"/>
        <v>10996.303687435198</v>
      </c>
      <c r="E57" s="2">
        <f t="shared" si="10"/>
        <v>9261.6341508701298</v>
      </c>
      <c r="F57" s="2">
        <f t="shared" si="11"/>
        <v>1734.6695365650678</v>
      </c>
      <c r="G57" s="2">
        <f t="shared" si="12"/>
        <v>171747.36096896301</v>
      </c>
    </row>
    <row r="58" spans="1:7" x14ac:dyDescent="0.25">
      <c r="A58" s="1">
        <v>44</v>
      </c>
      <c r="B58" s="1">
        <f t="shared" si="8"/>
        <v>4</v>
      </c>
      <c r="C58" s="2">
        <f t="shared" si="13"/>
        <v>171747.36096896301</v>
      </c>
      <c r="D58" s="2">
        <f t="shared" si="9"/>
        <v>10996.303687435198</v>
      </c>
      <c r="E58" s="2">
        <f t="shared" si="10"/>
        <v>9350.3914781493022</v>
      </c>
      <c r="F58" s="2">
        <f t="shared" si="11"/>
        <v>1645.9122092858956</v>
      </c>
      <c r="G58" s="2">
        <f t="shared" si="12"/>
        <v>162396.9694908137</v>
      </c>
    </row>
    <row r="59" spans="1:7" x14ac:dyDescent="0.25">
      <c r="A59" s="1">
        <v>45</v>
      </c>
      <c r="B59" s="1">
        <f t="shared" si="8"/>
        <v>4</v>
      </c>
      <c r="C59" s="2">
        <f t="shared" si="13"/>
        <v>162396.9694908137</v>
      </c>
      <c r="D59" s="2">
        <f t="shared" si="9"/>
        <v>10996.303687435198</v>
      </c>
      <c r="E59" s="2">
        <f t="shared" si="10"/>
        <v>9439.9993964815676</v>
      </c>
      <c r="F59" s="2">
        <f t="shared" si="11"/>
        <v>1556.3042909536314</v>
      </c>
      <c r="G59" s="2">
        <f t="shared" si="12"/>
        <v>152956.97009433212</v>
      </c>
    </row>
    <row r="60" spans="1:7" x14ac:dyDescent="0.25">
      <c r="A60" s="1">
        <v>46</v>
      </c>
      <c r="B60" s="1">
        <f t="shared" si="8"/>
        <v>4</v>
      </c>
      <c r="C60" s="2">
        <f t="shared" si="13"/>
        <v>152956.97009433212</v>
      </c>
      <c r="D60" s="2">
        <f t="shared" si="9"/>
        <v>10996.303687435198</v>
      </c>
      <c r="E60" s="2">
        <f t="shared" si="10"/>
        <v>9530.466057364516</v>
      </c>
      <c r="F60" s="2">
        <f t="shared" si="11"/>
        <v>1465.837630070683</v>
      </c>
      <c r="G60" s="2">
        <f t="shared" si="12"/>
        <v>143426.50403696761</v>
      </c>
    </row>
    <row r="61" spans="1:7" x14ac:dyDescent="0.25">
      <c r="A61" s="1">
        <v>47</v>
      </c>
      <c r="B61" s="1">
        <f t="shared" si="8"/>
        <v>4</v>
      </c>
      <c r="C61" s="2">
        <f t="shared" si="13"/>
        <v>143426.50403696761</v>
      </c>
      <c r="D61" s="2">
        <f t="shared" si="9"/>
        <v>10996.303687435198</v>
      </c>
      <c r="E61" s="2">
        <f t="shared" si="10"/>
        <v>9621.7996904142583</v>
      </c>
      <c r="F61" s="2">
        <f t="shared" si="11"/>
        <v>1374.5039970209398</v>
      </c>
      <c r="G61" s="2">
        <f t="shared" si="12"/>
        <v>133804.70434655336</v>
      </c>
    </row>
    <row r="62" spans="1:7" x14ac:dyDescent="0.25">
      <c r="A62" s="1">
        <v>48</v>
      </c>
      <c r="B62" s="1">
        <f t="shared" si="8"/>
        <v>4</v>
      </c>
      <c r="C62" s="2">
        <f t="shared" si="13"/>
        <v>133804.70434655336</v>
      </c>
      <c r="D62" s="2">
        <f t="shared" si="9"/>
        <v>10996.303687435198</v>
      </c>
      <c r="E62" s="2">
        <f t="shared" si="10"/>
        <v>9714.0086041140621</v>
      </c>
      <c r="F62" s="2">
        <f t="shared" si="11"/>
        <v>1282.2950833211366</v>
      </c>
      <c r="G62" s="2">
        <f t="shared" si="12"/>
        <v>124090.6957424393</v>
      </c>
    </row>
    <row r="63" spans="1:7" x14ac:dyDescent="0.25">
      <c r="A63" s="1">
        <v>49</v>
      </c>
      <c r="B63" s="1">
        <f t="shared" si="8"/>
        <v>5</v>
      </c>
      <c r="C63" s="2">
        <f t="shared" si="13"/>
        <v>124090.6957424393</v>
      </c>
      <c r="D63" s="2">
        <f t="shared" si="9"/>
        <v>10996.303687435198</v>
      </c>
      <c r="E63" s="2">
        <f t="shared" si="10"/>
        <v>9807.1011865701548</v>
      </c>
      <c r="F63" s="2">
        <f t="shared" si="11"/>
        <v>1189.2025008650435</v>
      </c>
      <c r="G63" s="2">
        <f t="shared" si="12"/>
        <v>114283.59455586915</v>
      </c>
    </row>
    <row r="64" spans="1:7" x14ac:dyDescent="0.25">
      <c r="A64" s="1">
        <v>50</v>
      </c>
      <c r="B64" s="1">
        <f t="shared" si="8"/>
        <v>5</v>
      </c>
      <c r="C64" s="2">
        <f t="shared" si="13"/>
        <v>114283.59455586915</v>
      </c>
      <c r="D64" s="2">
        <f t="shared" si="9"/>
        <v>10996.303687435198</v>
      </c>
      <c r="E64" s="2">
        <f t="shared" si="10"/>
        <v>9901.0859062747859</v>
      </c>
      <c r="F64" s="2">
        <f t="shared" si="11"/>
        <v>1095.2177811604129</v>
      </c>
      <c r="G64" s="2">
        <f t="shared" si="12"/>
        <v>104382.50864959435</v>
      </c>
    </row>
    <row r="65" spans="1:7" x14ac:dyDescent="0.25">
      <c r="A65" s="1">
        <v>51</v>
      </c>
      <c r="B65" s="1">
        <f t="shared" si="8"/>
        <v>5</v>
      </c>
      <c r="C65" s="2">
        <f t="shared" si="13"/>
        <v>104382.50864959435</v>
      </c>
      <c r="D65" s="2">
        <f t="shared" si="9"/>
        <v>10996.303687435198</v>
      </c>
      <c r="E65" s="2">
        <f t="shared" si="10"/>
        <v>9995.9713128765852</v>
      </c>
      <c r="F65" s="2">
        <f t="shared" si="11"/>
        <v>1000.3323745586126</v>
      </c>
      <c r="G65" s="2">
        <f t="shared" si="12"/>
        <v>94386.537336717767</v>
      </c>
    </row>
    <row r="66" spans="1:7" x14ac:dyDescent="0.25">
      <c r="A66" s="1">
        <v>52</v>
      </c>
      <c r="B66" s="1">
        <f t="shared" si="8"/>
        <v>5</v>
      </c>
      <c r="C66" s="2">
        <f t="shared" si="13"/>
        <v>94386.537336717767</v>
      </c>
      <c r="D66" s="2">
        <f t="shared" si="9"/>
        <v>10996.303687435198</v>
      </c>
      <c r="E66" s="2">
        <f t="shared" si="10"/>
        <v>10091.766037958319</v>
      </c>
      <c r="F66" s="2">
        <f t="shared" si="11"/>
        <v>904.53764947687864</v>
      </c>
      <c r="G66" s="2">
        <f t="shared" si="12"/>
        <v>84294.771298759442</v>
      </c>
    </row>
    <row r="67" spans="1:7" x14ac:dyDescent="0.25">
      <c r="A67" s="1">
        <v>53</v>
      </c>
      <c r="B67" s="1">
        <f t="shared" si="8"/>
        <v>5</v>
      </c>
      <c r="C67" s="2">
        <f t="shared" si="13"/>
        <v>84294.771298759442</v>
      </c>
      <c r="D67" s="2">
        <f t="shared" si="9"/>
        <v>10996.303687435198</v>
      </c>
      <c r="E67" s="2">
        <f t="shared" si="10"/>
        <v>10188.478795822088</v>
      </c>
      <c r="F67" s="2">
        <f t="shared" si="11"/>
        <v>807.82489161311139</v>
      </c>
      <c r="G67" s="2">
        <f t="shared" si="12"/>
        <v>74106.292502937358</v>
      </c>
    </row>
    <row r="68" spans="1:7" x14ac:dyDescent="0.25">
      <c r="A68" s="1">
        <v>54</v>
      </c>
      <c r="B68" s="1">
        <f t="shared" si="8"/>
        <v>5</v>
      </c>
      <c r="C68" s="2">
        <f t="shared" si="13"/>
        <v>74106.292502937358</v>
      </c>
      <c r="D68" s="2">
        <f t="shared" si="9"/>
        <v>10996.303687435198</v>
      </c>
      <c r="E68" s="2">
        <f t="shared" si="10"/>
        <v>10286.118384282048</v>
      </c>
      <c r="F68" s="2">
        <f t="shared" si="11"/>
        <v>710.18530315314979</v>
      </c>
      <c r="G68" s="2">
        <f t="shared" si="12"/>
        <v>63820.174118655312</v>
      </c>
    </row>
    <row r="69" spans="1:7" x14ac:dyDescent="0.25">
      <c r="A69" s="1">
        <v>55</v>
      </c>
      <c r="B69" s="1">
        <f t="shared" si="8"/>
        <v>5</v>
      </c>
      <c r="C69" s="2">
        <f t="shared" si="13"/>
        <v>63820.174118655312</v>
      </c>
      <c r="D69" s="2">
        <f t="shared" si="9"/>
        <v>10996.303687435198</v>
      </c>
      <c r="E69" s="2">
        <f t="shared" si="10"/>
        <v>10384.693685464752</v>
      </c>
      <c r="F69" s="2">
        <f t="shared" si="11"/>
        <v>611.61000197044677</v>
      </c>
      <c r="G69" s="2">
        <f t="shared" si="12"/>
        <v>53435.480433190562</v>
      </c>
    </row>
    <row r="70" spans="1:7" x14ac:dyDescent="0.25">
      <c r="A70" s="1">
        <v>56</v>
      </c>
      <c r="B70" s="1">
        <f t="shared" si="8"/>
        <v>5</v>
      </c>
      <c r="C70" s="2">
        <f t="shared" si="13"/>
        <v>53435.480433190562</v>
      </c>
      <c r="D70" s="2">
        <f t="shared" si="9"/>
        <v>10996.303687435198</v>
      </c>
      <c r="E70" s="2">
        <f t="shared" si="10"/>
        <v>10484.213666617123</v>
      </c>
      <c r="F70" s="2">
        <f t="shared" si="11"/>
        <v>512.09002081807625</v>
      </c>
      <c r="G70" s="2">
        <f t="shared" si="12"/>
        <v>42951.266766573441</v>
      </c>
    </row>
    <row r="71" spans="1:7" x14ac:dyDescent="0.25">
      <c r="A71" s="1">
        <v>57</v>
      </c>
      <c r="B71" s="1">
        <f t="shared" si="8"/>
        <v>5</v>
      </c>
      <c r="C71" s="2">
        <f t="shared" si="13"/>
        <v>42951.266766573441</v>
      </c>
      <c r="D71" s="2">
        <f t="shared" si="9"/>
        <v>10996.303687435198</v>
      </c>
      <c r="E71" s="2">
        <f t="shared" si="10"/>
        <v>10584.687380922203</v>
      </c>
      <c r="F71" s="2">
        <f t="shared" si="11"/>
        <v>411.61630651299549</v>
      </c>
      <c r="G71" s="2">
        <f t="shared" si="12"/>
        <v>32366.579385651239</v>
      </c>
    </row>
    <row r="72" spans="1:7" x14ac:dyDescent="0.25">
      <c r="A72" s="1">
        <v>58</v>
      </c>
      <c r="B72" s="1">
        <f t="shared" si="8"/>
        <v>5</v>
      </c>
      <c r="C72" s="2">
        <f t="shared" si="13"/>
        <v>32366.579385651239</v>
      </c>
      <c r="D72" s="2">
        <f t="shared" si="9"/>
        <v>10996.303687435198</v>
      </c>
      <c r="E72" s="2">
        <f t="shared" si="10"/>
        <v>10686.123968322707</v>
      </c>
      <c r="F72" s="2">
        <f t="shared" si="11"/>
        <v>310.17971911249106</v>
      </c>
      <c r="G72" s="2">
        <f t="shared" si="12"/>
        <v>21680.455417328532</v>
      </c>
    </row>
    <row r="73" spans="1:7" x14ac:dyDescent="0.25">
      <c r="A73" s="1">
        <v>59</v>
      </c>
      <c r="B73" s="1">
        <f t="shared" si="8"/>
        <v>5</v>
      </c>
      <c r="C73" s="2">
        <f t="shared" si="13"/>
        <v>21680.455417328532</v>
      </c>
      <c r="D73" s="2">
        <f t="shared" si="9"/>
        <v>10996.303687435198</v>
      </c>
      <c r="E73" s="2">
        <f t="shared" si="10"/>
        <v>10788.532656352467</v>
      </c>
      <c r="F73" s="2">
        <f t="shared" si="11"/>
        <v>207.77103108273178</v>
      </c>
      <c r="G73" s="2">
        <f t="shared" si="12"/>
        <v>10891.922760976066</v>
      </c>
    </row>
    <row r="74" spans="1:7" x14ac:dyDescent="0.25">
      <c r="A74" s="1">
        <v>60</v>
      </c>
      <c r="B74" s="1">
        <f t="shared" si="8"/>
        <v>5</v>
      </c>
      <c r="C74" s="2">
        <f t="shared" si="13"/>
        <v>10891.922760976066</v>
      </c>
      <c r="D74" s="2">
        <f t="shared" si="9"/>
        <v>10996.303687435198</v>
      </c>
      <c r="E74" s="2">
        <f t="shared" si="10"/>
        <v>10891.922760975844</v>
      </c>
      <c r="F74" s="2">
        <f t="shared" si="11"/>
        <v>104.38092645935397</v>
      </c>
      <c r="G74" s="2">
        <f t="shared" si="12"/>
        <v>2.2191670723259449E-10</v>
      </c>
    </row>
    <row r="75" spans="1:7" x14ac:dyDescent="0.25">
      <c r="A75" s="28" t="s">
        <v>43</v>
      </c>
      <c r="B75" s="1"/>
      <c r="C75" s="1"/>
      <c r="D75" s="2">
        <f>SUM(D15:D74)</f>
        <v>659778.22124611284</v>
      </c>
      <c r="E75" s="2">
        <f>SUM(E15:E74)</f>
        <v>499999.99999999971</v>
      </c>
      <c r="F75" s="2">
        <f>SUM(F15:F74)</f>
        <v>159778.22124611217</v>
      </c>
      <c r="G75" s="1"/>
    </row>
  </sheetData>
  <mergeCells count="3">
    <mergeCell ref="A1:C1"/>
    <mergeCell ref="I14:K14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Inversión inicial</vt:lpstr>
      <vt:lpstr> Proyeccion de ventas en unidad</vt:lpstr>
      <vt:lpstr>Presupuesto de operación</vt:lpstr>
      <vt:lpstr>Costos y precio de venta</vt:lpstr>
      <vt:lpstr>Ventas presupuestadas en $</vt:lpstr>
      <vt:lpstr>Estado de Resultados</vt:lpstr>
      <vt:lpstr>Flujo de efectivo</vt:lpstr>
      <vt:lpstr>VAN y TIR</vt:lpstr>
      <vt:lpstr>Amortización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Tintori</dc:creator>
  <cp:lastModifiedBy>Hector Hernandez</cp:lastModifiedBy>
  <dcterms:created xsi:type="dcterms:W3CDTF">2019-08-09T13:24:09Z</dcterms:created>
  <dcterms:modified xsi:type="dcterms:W3CDTF">2026-08-14T04:54:40Z</dcterms:modified>
</cp:coreProperties>
</file>