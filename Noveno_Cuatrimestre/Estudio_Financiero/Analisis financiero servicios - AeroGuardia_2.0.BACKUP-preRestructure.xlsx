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  <Override PartName="/xl/charts/style1.xml" ContentType="application/vnd.ms-office.chartstyle+xml"/>
  <Override PartName="/xl/charts/colors1.xml" ContentType="application/vnd.ms-office.chartcolorstyle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30" firstSheet="1" activeTab="2" autoFilterDateGrouping="1"/>
  </bookViews>
  <sheets>
    <sheet xmlns:r="http://schemas.openxmlformats.org/officeDocument/2006/relationships" name="Inversión inicial" sheetId="1" state="visible" r:id="rId1"/>
    <sheet xmlns:r="http://schemas.openxmlformats.org/officeDocument/2006/relationships" name=" Proyeccion de ventas en unidad" sheetId="2" state="visible" r:id="rId2"/>
    <sheet xmlns:r="http://schemas.openxmlformats.org/officeDocument/2006/relationships" name="Presupuesto de operación" sheetId="3" state="visible" r:id="rId3"/>
    <sheet xmlns:r="http://schemas.openxmlformats.org/officeDocument/2006/relationships" name="Costos y precio de venta" sheetId="4" state="visible" r:id="rId4"/>
    <sheet xmlns:r="http://schemas.openxmlformats.org/officeDocument/2006/relationships" name="Ventas presupuestadas en $" sheetId="5" state="visible" r:id="rId5"/>
    <sheet xmlns:r="http://schemas.openxmlformats.org/officeDocument/2006/relationships" name="Estado de Resultados" sheetId="6" state="visible" r:id="rId6"/>
    <sheet xmlns:r="http://schemas.openxmlformats.org/officeDocument/2006/relationships" name="Flujo de efectivo" sheetId="7" state="visible" r:id="rId7"/>
    <sheet xmlns:r="http://schemas.openxmlformats.org/officeDocument/2006/relationships" name="VAN y TIR" sheetId="8" state="visible" r:id="rId8"/>
    <sheet xmlns:r="http://schemas.openxmlformats.org/officeDocument/2006/relationships" name="Amortización" sheetId="9" state="visible" r:id="rId9"/>
  </sheets>
  <externalReferences>
    <externalReference xmlns:r="http://schemas.openxmlformats.org/officeDocument/2006/relationships" r:id="rId10"/>
  </externalReference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&quot;$&quot;#,##0.00"/>
    <numFmt numFmtId="165" formatCode="0.0%"/>
    <numFmt numFmtId="166" formatCode="_-* #,##0.00_-;\-* #,##0.00_-;_-* &quot;-&quot;??_-;_-@_-"/>
    <numFmt numFmtId="167" formatCode="_-&quot;$&quot;* #,##0.00_-;\-&quot;$&quot;* #,##0.00_-;_-&quot;$&quot;* &quot;-&quot;??_-;_-@_-"/>
    <numFmt numFmtId="168" formatCode="#,##0_ ;\-#,##0\ "/>
    <numFmt numFmtId="169" formatCode="_(&quot;$&quot;* #,##0.00_);_(&quot;$&quot;* \(#,##0.00\);_(&quot;$&quot;* &quot;-&quot;??_);_(@_)"/>
    <numFmt numFmtId="170" formatCode="&quot;$&quot;#,##0.00;[Red]\-&quot;$&quot;#,##0.00"/>
    <numFmt numFmtId="171" formatCode="0.0000%"/>
    <numFmt numFmtId="172" formatCode="&quot;$&quot;#,##0"/>
  </numFmts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1"/>
      <u val="singleAccounting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b val="1"/>
      <sz val="11"/>
    </font>
    <font>
      <name val="Calibri"/>
      <b val="1"/>
      <sz val="14"/>
    </font>
    <font>
      <name val="Calibri"/>
      <sz val="11"/>
    </font>
    <font>
      <name val="Calibri"/>
      <b val="1"/>
      <color rgb="FFFFFFFF"/>
      <sz val="11"/>
    </font>
    <font>
      <name val="Calibri"/>
      <i val="1"/>
      <color rgb="FFC00000"/>
      <sz val="11"/>
    </font>
    <font>
      <name val="Calibri"/>
      <family val="2"/>
      <b val="1"/>
      <i val="1"/>
      <color theme="1"/>
      <sz val="14"/>
      <scheme val="minor"/>
    </font>
    <font>
      <name val="Calibri"/>
      <family val="2"/>
      <b val="1"/>
      <sz val="11"/>
      <scheme val="minor"/>
    </font>
  </fonts>
  <fills count="12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1" fillId="0" borderId="0"/>
    <xf numFmtId="44" fontId="1" fillId="0" borderId="0"/>
    <xf numFmtId="43" fontId="1" fillId="0" borderId="0"/>
    <xf numFmtId="9" fontId="1" fillId="0" borderId="0"/>
  </cellStyleXfs>
  <cellXfs count="154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  <xf numFmtId="0" fontId="2" fillId="0" borderId="1" applyAlignment="1" pivotButton="0" quotePrefix="0" xfId="0">
      <alignment horizontal="center"/>
    </xf>
    <xf numFmtId="3" fontId="0" fillId="0" borderId="1" pivotButton="0" quotePrefix="0" xfId="0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165" fontId="0" fillId="0" borderId="0" pivotButton="0" quotePrefix="0" xfId="3"/>
    <xf numFmtId="0" fontId="5" fillId="0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0" applyAlignment="1" pivotButton="0" quotePrefix="0" xfId="0">
      <alignment horizontal="right"/>
    </xf>
    <xf numFmtId="1" fontId="0" fillId="0" borderId="0" pivotButton="0" quotePrefix="0" xfId="0"/>
    <xf numFmtId="0" fontId="2" fillId="0" borderId="2" applyAlignment="1" pivotButton="0" quotePrefix="0" xfId="0">
      <alignment horizontal="center"/>
    </xf>
    <xf numFmtId="0" fontId="2" fillId="0" borderId="2" pivotButton="0" quotePrefix="0" xfId="0"/>
    <xf numFmtId="0" fontId="0" fillId="0" borderId="3" pivotButton="0" quotePrefix="0" xfId="0"/>
    <xf numFmtId="0" fontId="2" fillId="0" borderId="4" applyAlignment="1" pivotButton="0" quotePrefix="0" xfId="0">
      <alignment horizontal="center"/>
    </xf>
    <xf numFmtId="0" fontId="2" fillId="0" borderId="1" applyAlignment="1" pivotButton="0" quotePrefix="0" xfId="0">
      <alignment horizontal="center" wrapText="1"/>
    </xf>
    <xf numFmtId="0" fontId="8" fillId="0" borderId="0" pivotButton="0" quotePrefix="0" xfId="0"/>
    <xf numFmtId="4" fontId="0" fillId="0" borderId="1" pivotButton="0" quotePrefix="0" xfId="1"/>
    <xf numFmtId="4" fontId="0" fillId="3" borderId="1" pivotButton="0" quotePrefix="0" xfId="0"/>
    <xf numFmtId="3" fontId="0" fillId="3" borderId="1" pivotButton="0" quotePrefix="0" xfId="0"/>
    <xf numFmtId="3" fontId="0" fillId="0" borderId="1" pivotButton="0" quotePrefix="0" xfId="1"/>
    <xf numFmtId="0" fontId="10" fillId="0" borderId="0" pivotButton="0" quotePrefix="0" xfId="0"/>
    <xf numFmtId="0" fontId="11" fillId="0" borderId="0" pivotButton="0" quotePrefix="0" xfId="0"/>
    <xf numFmtId="0" fontId="2" fillId="7" borderId="1" applyAlignment="1" pivotButton="0" quotePrefix="0" xfId="0">
      <alignment horizontal="center"/>
    </xf>
    <xf numFmtId="3" fontId="2" fillId="0" borderId="0" applyAlignment="1" pivotButton="0" quotePrefix="0" xfId="0">
      <alignment wrapText="1"/>
    </xf>
    <xf numFmtId="164" fontId="0" fillId="0" borderId="0" pivotButton="0" quotePrefix="0" xfId="0"/>
    <xf numFmtId="0" fontId="6" fillId="0" borderId="1" applyAlignment="1" pivotButton="0" quotePrefix="0" xfId="0">
      <alignment horizontal="center" wrapText="1"/>
    </xf>
    <xf numFmtId="0" fontId="2" fillId="0" borderId="0" applyAlignment="1" pivotButton="0" quotePrefix="0" xfId="0">
      <alignment horizontal="center"/>
    </xf>
    <xf numFmtId="0" fontId="12" fillId="0" borderId="1" pivotButton="0" quotePrefix="0" xfId="0"/>
    <xf numFmtId="10" fontId="0" fillId="0" borderId="0" pivotButton="0" quotePrefix="0" xfId="0"/>
    <xf numFmtId="3" fontId="12" fillId="2" borderId="1" pivotButton="0" quotePrefix="0" xfId="1"/>
    <xf numFmtId="166" fontId="2" fillId="0" borderId="0" pivotButton="0" quotePrefix="0" xfId="2"/>
    <xf numFmtId="0" fontId="12" fillId="0" borderId="0" applyAlignment="1" pivotButton="0" quotePrefix="0" xfId="0">
      <alignment horizontal="center"/>
    </xf>
    <xf numFmtId="3" fontId="0" fillId="0" borderId="0" pivotButton="0" quotePrefix="0" xfId="1"/>
    <xf numFmtId="167" fontId="0" fillId="0" borderId="0" pivotButton="0" quotePrefix="0" xfId="1"/>
    <xf numFmtId="10" fontId="0" fillId="3" borderId="1" pivotButton="0" quotePrefix="0" xfId="0"/>
    <xf numFmtId="3" fontId="0" fillId="2" borderId="1" pivotButton="0" quotePrefix="0" xfId="0"/>
    <xf numFmtId="0" fontId="12" fillId="0" borderId="0" pivotButton="0" quotePrefix="0" xfId="0"/>
    <xf numFmtId="168" fontId="0" fillId="0" borderId="1" pivotButton="0" quotePrefix="0" xfId="1"/>
    <xf numFmtId="168" fontId="0" fillId="0" borderId="1" pivotButton="0" quotePrefix="0" xfId="0"/>
    <xf numFmtId="167" fontId="0" fillId="3" borderId="1" pivotButton="0" quotePrefix="0" xfId="0"/>
    <xf numFmtId="167" fontId="0" fillId="0" borderId="1" pivotButton="0" quotePrefix="0" xfId="0"/>
    <xf numFmtId="167" fontId="0" fillId="0" borderId="0" pivotButton="0" quotePrefix="0" xfId="0"/>
    <xf numFmtId="167" fontId="6" fillId="0" borderId="1" applyAlignment="1" pivotButton="0" quotePrefix="0" xfId="1">
      <alignment horizontal="center" vertical="center" wrapText="1"/>
    </xf>
    <xf numFmtId="167" fontId="2" fillId="0" borderId="2" applyAlignment="1" pivotButton="0" quotePrefix="0" xfId="1">
      <alignment horizontal="center"/>
    </xf>
    <xf numFmtId="0" fontId="0" fillId="10" borderId="1" pivotButton="0" quotePrefix="0" xfId="0"/>
    <xf numFmtId="0" fontId="0" fillId="10" borderId="0" pivotButton="0" quotePrefix="0" xfId="0"/>
    <xf numFmtId="3" fontId="0" fillId="10" borderId="1" pivotButton="0" quotePrefix="0" xfId="0"/>
    <xf numFmtId="3" fontId="0" fillId="10" borderId="0" pivotButton="0" quotePrefix="0" xfId="0"/>
    <xf numFmtId="0" fontId="14" fillId="0" borderId="1" pivotButton="0" quotePrefix="0" xfId="0"/>
    <xf numFmtId="3" fontId="7" fillId="0" borderId="1" pivotButton="0" quotePrefix="0" xfId="0"/>
    <xf numFmtId="3" fontId="7" fillId="0" borderId="1" pivotButton="0" quotePrefix="0" xfId="1"/>
    <xf numFmtId="167" fontId="0" fillId="0" borderId="1" pivotButton="0" quotePrefix="0" xfId="1"/>
    <xf numFmtId="169" fontId="0" fillId="0" borderId="1" pivotButton="0" quotePrefix="0" xfId="0"/>
    <xf numFmtId="169" fontId="7" fillId="0" borderId="1" pivotButton="0" quotePrefix="0" xfId="0"/>
    <xf numFmtId="167" fontId="7" fillId="0" borderId="1" pivotButton="0" quotePrefix="0" xfId="1"/>
    <xf numFmtId="3" fontId="2" fillId="0" borderId="1" pivotButton="0" quotePrefix="0" xfId="0"/>
    <xf numFmtId="3" fontId="2" fillId="0" borderId="1" pivotButton="0" quotePrefix="0" xfId="1"/>
    <xf numFmtId="3" fontId="2" fillId="10" borderId="1" pivotButton="0" quotePrefix="0" xfId="0"/>
    <xf numFmtId="0" fontId="14" fillId="8" borderId="0" applyAlignment="1" pivotButton="0" quotePrefix="0" xfId="0">
      <alignment horizontal="right"/>
    </xf>
    <xf numFmtId="3" fontId="8" fillId="6" borderId="1" pivotButton="0" quotePrefix="0" xfId="3"/>
    <xf numFmtId="0" fontId="14" fillId="0" borderId="0" applyAlignment="1" pivotButton="0" quotePrefix="0" xfId="0">
      <alignment horizontal="right"/>
    </xf>
    <xf numFmtId="3" fontId="2" fillId="0" borderId="1" applyAlignment="1" pivotButton="0" quotePrefix="0" xfId="0">
      <alignment horizontal="center"/>
    </xf>
    <xf numFmtId="0" fontId="12" fillId="0" borderId="1" applyAlignment="1" pivotButton="0" quotePrefix="0" xfId="0">
      <alignment horizontal="center"/>
    </xf>
    <xf numFmtId="3" fontId="0" fillId="4" borderId="1" pivotButton="0" quotePrefix="0" xfId="0"/>
    <xf numFmtId="3" fontId="0" fillId="4" borderId="1" pivotButton="0" quotePrefix="0" xfId="1"/>
    <xf numFmtId="167" fontId="0" fillId="4" borderId="1" pivotButton="0" quotePrefix="0" xfId="0"/>
    <xf numFmtId="0" fontId="12" fillId="0" borderId="0" applyAlignment="1" pivotButton="0" quotePrefix="0" xfId="0">
      <alignment horizontal="left"/>
    </xf>
    <xf numFmtId="170" fontId="0" fillId="0" borderId="0" pivotButton="0" quotePrefix="0" xfId="0"/>
    <xf numFmtId="170" fontId="0" fillId="0" borderId="1" pivotButton="0" quotePrefix="0" xfId="0"/>
    <xf numFmtId="170" fontId="2" fillId="0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3" fontId="0" fillId="10" borderId="1" pivotButton="0" quotePrefix="0" xfId="1"/>
    <xf numFmtId="3" fontId="2" fillId="10" borderId="1" applyAlignment="1" pivotButton="0" quotePrefix="0" xfId="0">
      <alignment horizontal="center"/>
    </xf>
    <xf numFmtId="3" fontId="0" fillId="10" borderId="1" applyAlignment="1" pivotButton="0" quotePrefix="0" xfId="0">
      <alignment horizontal="center"/>
    </xf>
    <xf numFmtId="10" fontId="0" fillId="3" borderId="1" pivotButton="0" quotePrefix="0" xfId="1"/>
    <xf numFmtId="10" fontId="2" fillId="0" borderId="1" pivotButton="0" quotePrefix="0" xfId="0"/>
    <xf numFmtId="0" fontId="12" fillId="0" borderId="0" applyAlignment="1" pivotButton="0" quotePrefix="0" xfId="0">
      <alignment horizontal="right"/>
    </xf>
    <xf numFmtId="0" fontId="12" fillId="6" borderId="1" applyAlignment="1" pivotButton="0" quotePrefix="0" xfId="0">
      <alignment horizontal="center"/>
    </xf>
    <xf numFmtId="0" fontId="16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171" fontId="0" fillId="0" borderId="0" pivotButton="0" quotePrefix="0" xfId="0"/>
    <xf numFmtId="0" fontId="15" fillId="9" borderId="0" applyAlignment="1" pivotButton="0" quotePrefix="0" xfId="0">
      <alignment horizontal="center"/>
    </xf>
    <xf numFmtId="0" fontId="0" fillId="0" borderId="0" pivotButton="0" quotePrefix="0" xfId="0"/>
    <xf numFmtId="0" fontId="8" fillId="5" borderId="1" applyAlignment="1" pivotButton="0" quotePrefix="0" xfId="0">
      <alignment horizontal="center"/>
    </xf>
    <xf numFmtId="0" fontId="0" fillId="0" borderId="5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3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0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  <xf numFmtId="0" fontId="10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12" fillId="0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17" fillId="0" borderId="0" applyAlignment="1" pivotButton="0" quotePrefix="0" xfId="0">
      <alignment horizontal="center"/>
    </xf>
    <xf numFmtId="0" fontId="9" fillId="0" borderId="0" pivotButton="0" quotePrefix="0" xfId="0"/>
    <xf numFmtId="3" fontId="0" fillId="3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3" fontId="0" fillId="11" borderId="1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18" fillId="5" borderId="1" applyAlignment="1" pivotButton="0" quotePrefix="0" xfId="0">
      <alignment horizontal="center" wrapText="1"/>
    </xf>
    <xf numFmtId="0" fontId="18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/>
    </xf>
    <xf numFmtId="172" fontId="0" fillId="0" borderId="1" pivotButton="0" quotePrefix="0" xfId="1"/>
    <xf numFmtId="172" fontId="0" fillId="0" borderId="1" pivotButton="0" quotePrefix="0" xfId="0"/>
    <xf numFmtId="0" fontId="1" fillId="0" borderId="1" applyAlignment="1" pivotButton="0" quotePrefix="0" xfId="0">
      <alignment wrapText="1"/>
    </xf>
    <xf numFmtId="172" fontId="12" fillId="2" borderId="1" pivotButton="0" quotePrefix="0" xfId="1"/>
    <xf numFmtId="172" fontId="0" fillId="0" borderId="0" pivotButton="0" quotePrefix="0" xfId="0"/>
    <xf numFmtId="166" fontId="2" fillId="0" borderId="0" pivotButton="0" quotePrefix="0" xfId="2"/>
    <xf numFmtId="172" fontId="0" fillId="0" borderId="0" pivotButton="0" quotePrefix="0" xfId="1"/>
    <xf numFmtId="167" fontId="0" fillId="0" borderId="0" pivotButton="0" quotePrefix="0" xfId="1"/>
    <xf numFmtId="172" fontId="0" fillId="2" borderId="1" pivotButton="0" quotePrefix="0" xfId="0"/>
    <xf numFmtId="172" fontId="0" fillId="3" borderId="1" pivotButton="0" quotePrefix="0" xfId="0"/>
    <xf numFmtId="167" fontId="0" fillId="0" borderId="0" pivotButton="0" quotePrefix="0" xfId="0"/>
    <xf numFmtId="167" fontId="6" fillId="0" borderId="1" applyAlignment="1" pivotButton="0" quotePrefix="0" xfId="1">
      <alignment horizontal="center" vertical="center" wrapText="1"/>
    </xf>
    <xf numFmtId="167" fontId="2" fillId="0" borderId="2" applyAlignment="1" pivotButton="0" quotePrefix="0" xfId="1">
      <alignment horizontal="center"/>
    </xf>
    <xf numFmtId="172" fontId="0" fillId="10" borderId="1" pivotButton="0" quotePrefix="0" xfId="0"/>
    <xf numFmtId="172" fontId="0" fillId="10" borderId="0" pivotButton="0" quotePrefix="0" xfId="0"/>
    <xf numFmtId="172" fontId="7" fillId="0" borderId="1" pivotButton="0" quotePrefix="0" xfId="0"/>
    <xf numFmtId="172" fontId="7" fillId="0" borderId="1" pivotButton="0" quotePrefix="0" xfId="1"/>
    <xf numFmtId="167" fontId="0" fillId="0" borderId="1" pivotButton="0" quotePrefix="0" xfId="1"/>
    <xf numFmtId="169" fontId="0" fillId="0" borderId="1" pivotButton="0" quotePrefix="0" xfId="0"/>
    <xf numFmtId="169" fontId="7" fillId="0" borderId="1" pivotButton="0" quotePrefix="0" xfId="0"/>
    <xf numFmtId="172" fontId="2" fillId="0" borderId="1" pivotButton="0" quotePrefix="0" xfId="0"/>
    <xf numFmtId="172" fontId="2" fillId="0" borderId="1" pivotButton="0" quotePrefix="0" xfId="1"/>
    <xf numFmtId="172" fontId="2" fillId="10" borderId="1" pivotButton="0" quotePrefix="0" xfId="0"/>
    <xf numFmtId="172" fontId="8" fillId="6" borderId="1" pivotButton="0" quotePrefix="0" xfId="3"/>
    <xf numFmtId="172" fontId="0" fillId="4" borderId="1" pivotButton="0" quotePrefix="0" xfId="0"/>
    <xf numFmtId="172" fontId="0" fillId="4" borderId="1" pivotButton="0" quotePrefix="0" xfId="1"/>
    <xf numFmtId="170" fontId="0" fillId="0" borderId="0" pivotButton="0" quotePrefix="0" xfId="0"/>
    <xf numFmtId="170" fontId="0" fillId="0" borderId="1" pivotButton="0" quotePrefix="0" xfId="0"/>
    <xf numFmtId="170" fontId="2" fillId="0" borderId="1" applyAlignment="1" pivotButton="0" quotePrefix="0" xfId="0">
      <alignment horizontal="center"/>
    </xf>
    <xf numFmtId="172" fontId="0" fillId="10" borderId="1" pivotButton="0" quotePrefix="0" xfId="1"/>
    <xf numFmtId="172" fontId="2" fillId="10" borderId="1" applyAlignment="1" pivotButton="0" quotePrefix="0" xfId="0">
      <alignment horizontal="center"/>
    </xf>
    <xf numFmtId="172" fontId="0" fillId="10" borderId="1" applyAlignment="1" pivotButton="0" quotePrefix="0" xfId="0">
      <alignment horizontal="center"/>
    </xf>
    <xf numFmtId="171" fontId="0" fillId="0" borderId="0" pivotButton="0" quotePrefix="0" xfId="0"/>
  </cellXfs>
  <cellStyles count="4">
    <cellStyle name="Normal" xfId="0" builtinId="0"/>
    <cellStyle name="Moneda" xfId="1" builtinId="4"/>
    <cellStyle name="Millares" xfId="2" builtinId="3"/>
    <cellStyle name="Porcentaje" xfId="3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externalLink" Target="/xl/externalLinks/externalLink1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Estructura financiera: % propio vs % externo</a:t>
            </a:r>
          </a:p>
        </rich>
      </tx>
      <overlay val="1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s-MX"/>
        </a:p>
      </txPr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explosion val="15"/>
            <spPr>
              <a:solidFill xmlns:a="http://schemas.openxmlformats.org/drawingml/2006/main">
                <a:schemeClr val="accent5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s-MX"/>
              </a:p>
            </txPr>
            <dLblPos val="ctr"/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'Inversión inicial'!$B$31:$B$32</f>
              <strCache>
                <ptCount val="2"/>
                <pt idx="0">
                  <v>Patrimonio propio</v>
                </pt>
                <pt idx="1">
                  <v>Recursos ajenos (crédito)</v>
                </pt>
              </strCache>
            </strRef>
          </cat>
          <val>
            <numRef>
              <f>'Inversión inicial'!$C$31:$C$32</f>
              <numCache>
                <formatCode>0.00%</formatCode>
                <ptCount val="2"/>
                <pt idx="0">
                  <v>0</v>
                </pt>
                <pt idx="1">
                  <v>1</v>
                </pt>
              </numCache>
            </numRef>
          </val>
        </ser>
        <dLbls>
          <dLblPos val="ctr"/>
          <showLegendKey val="0"/>
          <showVal val="0"/>
          <showCatName val="0"/>
          <showSerName val="0"/>
          <showPercent val="1"/>
          <showBubbleSize val="0"/>
          <showLeaderLines val="1"/>
        </dLbls>
        <firstSliceAng val="0"/>
      </pieChart>
    </plotArea>
    <legend>
      <legendPos val="b"/>
      <layout>
        <manualLayout>
          <xMode val="edge"/>
          <yMode val="edge"/>
          <wMode val="factor"/>
          <hMode val="factor"/>
          <x val="0.1757909835568461"/>
          <y val="0.9177378780091715"/>
          <w val="0.6484177950519513"/>
          <h val="0.0698452717057786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s-MX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823231</colOff>
      <row>32</row>
      <rowOff>190498</rowOff>
    </from>
    <ext cx="4204607" cy="3068411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externalLinks/_rels/externalLink1.xml.rels><Relationships xmlns="http://schemas.openxmlformats.org/package/2006/relationships"><Relationship Type="http://schemas.microsoft.com/office/2006/relationships/xlExternalLinkPath/xlPathMissing" Target="V&#237;nculoExternoRecuperado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</sheetNames>
    <sheetDataSet>
      <sheetData sheetId="0">
        <row r="14">
          <cell r="F14" t="str">
            <v>Patrimonio propio</v>
          </cell>
          <cell r="G14">
            <v>0.6</v>
          </cell>
        </row>
        <row r="15">
          <cell r="F15" t="str">
            <v>Recursos ajenos</v>
          </cell>
          <cell r="G15">
            <v>0.4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32"/>
  <sheetViews>
    <sheetView topLeftCell="A11" zoomScale="115" zoomScaleNormal="115" workbookViewId="0">
      <selection activeCell="F24" sqref="F24"/>
    </sheetView>
  </sheetViews>
  <sheetFormatPr baseColWidth="10" defaultRowHeight="15"/>
  <cols>
    <col width="6.85546875" customWidth="1" style="94" min="1" max="1"/>
    <col width="59" customWidth="1" style="101" min="2" max="2"/>
    <col width="15.140625" customWidth="1" style="94" min="3" max="3"/>
    <col width="17.7109375" customWidth="1" style="94" min="6" max="6"/>
    <col width="12.5703125" bestFit="1" customWidth="1" style="94" min="7" max="7"/>
    <col width="18.42578125" customWidth="1" style="94" min="8" max="8"/>
  </cols>
  <sheetData>
    <row r="2" ht="18.75" customHeight="1" s="94">
      <c r="B2" s="111" t="inlineStr">
        <is>
          <t>AeroGuardia</t>
        </is>
      </c>
    </row>
    <row r="4" ht="18.75" customHeight="1" s="94">
      <c r="B4" s="95" t="inlineStr">
        <is>
          <t>CÁLCULO DE LA INVERSIÓN INICIAL</t>
        </is>
      </c>
      <c r="C4" s="96" t="n"/>
    </row>
    <row r="6">
      <c r="B6" s="108" t="inlineStr">
        <is>
          <t>CONCEPTO</t>
        </is>
      </c>
      <c r="C6" s="33" t="inlineStr">
        <is>
          <t>CANTIDAD</t>
        </is>
      </c>
    </row>
    <row r="7">
      <c r="B7" s="105" t="inlineStr">
        <is>
          <t>Desarrollo inicial del software</t>
        </is>
      </c>
      <c r="C7" s="121" t="n">
        <v>250000</v>
      </c>
    </row>
    <row r="8">
      <c r="B8" s="105" t="inlineStr">
        <is>
          <t>Auditoría y pruebas de ciberseguridad</t>
        </is>
      </c>
      <c r="C8" s="122" t="n">
        <v>80000</v>
      </c>
    </row>
    <row r="9">
      <c r="B9" s="105" t="inlineStr">
        <is>
          <t>Diseño de interfaz y experiencia de usuario (UI/UX)</t>
        </is>
      </c>
      <c r="C9" s="122" t="n">
        <v>30000</v>
      </c>
    </row>
    <row r="10">
      <c r="B10" s="123" t="inlineStr">
        <is>
          <t>Infraestructura tecnológica inicial</t>
        </is>
      </c>
      <c r="C10" s="122" t="n">
        <v>20000</v>
      </c>
    </row>
    <row r="11">
      <c r="B11" s="105" t="inlineStr">
        <is>
          <t>Registro de marca y asesoría legal</t>
        </is>
      </c>
      <c r="C11" s="122" t="n">
        <v>25000</v>
      </c>
    </row>
    <row r="12">
      <c r="B12" s="105" t="inlineStr">
        <is>
          <t>Desarrollo de sitio web corporativo</t>
        </is>
      </c>
      <c r="C12" s="122" t="n">
        <v>15000</v>
      </c>
    </row>
    <row r="13">
      <c r="B13" s="105" t="inlineStr">
        <is>
          <t>Equipo demostrativo de hardware</t>
        </is>
      </c>
      <c r="C13" s="122" t="n">
        <v>30000</v>
      </c>
    </row>
    <row r="14">
      <c r="B14" s="105" t="inlineStr">
        <is>
          <t>Fondo operativo inicial</t>
        </is>
      </c>
      <c r="C14" s="122" t="n">
        <v>50000</v>
      </c>
    </row>
    <row r="15" hidden="1" s="94">
      <c r="B15" s="105" t="inlineStr">
        <is>
          <t>Equipo de transporte y entrega</t>
        </is>
      </c>
      <c r="C15" s="122" t="n">
        <v>0</v>
      </c>
    </row>
    <row r="16" hidden="1" s="94">
      <c r="B16" s="110" t="inlineStr">
        <is>
          <t>Activos diferidos</t>
        </is>
      </c>
      <c r="C16" s="4" t="n"/>
    </row>
    <row r="17" hidden="1" s="94">
      <c r="B17" s="105" t="inlineStr">
        <is>
          <t xml:space="preserve">Depósito y renta </t>
        </is>
      </c>
      <c r="C17" s="122" t="n">
        <v>0</v>
      </c>
    </row>
    <row r="18" hidden="1" s="94">
      <c r="B18" s="105" t="inlineStr">
        <is>
          <t>Gastos de instalación (remodelaciones)</t>
        </is>
      </c>
      <c r="C18" s="122" t="n">
        <v>0</v>
      </c>
    </row>
    <row r="19" hidden="1" ht="30" customHeight="1" s="94">
      <c r="B19" s="105" t="inlineStr">
        <is>
          <t>Gastos de organización (notario, permisos, escrituras, honorarios, etc.)</t>
        </is>
      </c>
      <c r="C19" s="122" t="n">
        <v>0</v>
      </c>
    </row>
    <row r="20" hidden="1" ht="30" customHeight="1" s="94">
      <c r="B20" s="105" t="inlineStr">
        <is>
          <t>Gastos para iniciar operaciones (papelería, consumibles, artículos varios)</t>
        </is>
      </c>
      <c r="C20" s="122" t="n">
        <v>0</v>
      </c>
    </row>
    <row r="21" hidden="1" s="94">
      <c r="B21" s="105" t="inlineStr">
        <is>
          <t>Gastos de mercadotecnia</t>
        </is>
      </c>
      <c r="C21" s="122" t="n">
        <v>0</v>
      </c>
    </row>
    <row r="22" hidden="1" s="94">
      <c r="B22" s="110" t="inlineStr">
        <is>
          <t>Activos intangibles</t>
        </is>
      </c>
      <c r="C22" s="4" t="n"/>
    </row>
    <row r="23" hidden="1" s="94">
      <c r="B23" s="105" t="inlineStr">
        <is>
          <t>Patentes y marcas</t>
        </is>
      </c>
      <c r="C23" s="122" t="n">
        <v>0</v>
      </c>
    </row>
    <row r="24" hidden="1" s="94">
      <c r="B24" s="105" t="inlineStr">
        <is>
          <t>Dominios de internet</t>
        </is>
      </c>
      <c r="C24" s="122" t="n">
        <v>0</v>
      </c>
    </row>
    <row r="25" hidden="1" s="94">
      <c r="B25" s="105" t="inlineStr">
        <is>
          <t>Licencias de uso (software)</t>
        </is>
      </c>
      <c r="C25" s="122" t="n">
        <v>0</v>
      </c>
    </row>
    <row r="26">
      <c r="B26" s="109" t="inlineStr">
        <is>
          <t>TOTAL DE INVERSIÓN INICIAL</t>
        </is>
      </c>
      <c r="C26" s="124">
        <f>SUM(C7:C14)</f>
        <v/>
      </c>
    </row>
    <row r="28">
      <c r="B28" s="102" t="n"/>
    </row>
    <row r="29">
      <c r="B29" s="97" t="inlineStr">
        <is>
          <t>ESTRUCTURA FINANCIERA</t>
        </is>
      </c>
      <c r="D29" s="97" t="inlineStr">
        <is>
          <t>$(MXN)</t>
        </is>
      </c>
    </row>
    <row r="31">
      <c r="B31" s="101" t="inlineStr">
        <is>
          <t>Patrimonio propio</t>
        </is>
      </c>
      <c r="C31" s="39" t="n">
        <v>0</v>
      </c>
      <c r="D31" s="125">
        <f>C26*C31</f>
        <v/>
      </c>
    </row>
    <row r="32">
      <c r="B32" s="101" t="inlineStr">
        <is>
          <t>Recursos ajenos (crédito)</t>
        </is>
      </c>
      <c r="C32" s="39" t="n">
        <v>1</v>
      </c>
      <c r="D32" s="125">
        <f>C26*C32</f>
        <v/>
      </c>
    </row>
  </sheetData>
  <mergeCells count="3">
    <mergeCell ref="B2:C2"/>
    <mergeCell ref="B4:C4"/>
    <mergeCell ref="B29:C29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22"/>
  <sheetViews>
    <sheetView zoomScaleNormal="100" workbookViewId="0">
      <selection activeCell="C10" sqref="C10"/>
    </sheetView>
  </sheetViews>
  <sheetFormatPr baseColWidth="10" defaultRowHeight="15"/>
  <cols>
    <col width="29.42578125" customWidth="1" style="94" min="1" max="1"/>
    <col width="16.7109375" customWidth="1" style="8" min="2" max="2"/>
    <col width="16.28515625" customWidth="1" style="94" min="3" max="3"/>
    <col width="16" customWidth="1" style="94" min="4" max="4"/>
    <col width="4.28515625" customWidth="1" style="94" min="5" max="5"/>
  </cols>
  <sheetData>
    <row r="2" ht="21" customHeight="1" s="94">
      <c r="A2" s="12" t="inlineStr">
        <is>
          <t>AeroGuardia</t>
        </is>
      </c>
    </row>
    <row r="3">
      <c r="A3" s="5" t="n"/>
    </row>
    <row r="4">
      <c r="A4" s="5" t="inlineStr">
        <is>
          <t>PRONÓSTICO DE NUEVAS IMPLEMENTACIONES (CLIENTES NUEVOS) — AÑO 1</t>
        </is>
      </c>
    </row>
    <row r="5" ht="36" customHeight="1" s="94">
      <c r="A5" s="13" t="inlineStr">
        <is>
          <t>MES</t>
        </is>
      </c>
      <c r="B5" s="14" t="inlineStr">
        <is>
          <t>CLIENTES NUEVOS
(IMPLEMENTACIONES)</t>
        </is>
      </c>
      <c r="C5" s="15" t="n"/>
      <c r="D5" s="15" t="n"/>
      <c r="E5" s="15" t="n"/>
    </row>
    <row r="6">
      <c r="A6" s="1" t="inlineStr">
        <is>
          <t>ENERO</t>
        </is>
      </c>
      <c r="B6" s="113" t="n">
        <v>0</v>
      </c>
      <c r="C6" s="9" t="n"/>
      <c r="D6" s="9" t="n"/>
    </row>
    <row r="7">
      <c r="A7" s="1" t="inlineStr">
        <is>
          <t>FEBRERO</t>
        </is>
      </c>
      <c r="B7" s="113" t="n">
        <v>1</v>
      </c>
      <c r="C7" s="9" t="n"/>
      <c r="D7" s="9" t="n"/>
    </row>
    <row r="8">
      <c r="A8" s="1" t="inlineStr">
        <is>
          <t>MARZO</t>
        </is>
      </c>
      <c r="B8" s="113" t="n">
        <v>0</v>
      </c>
      <c r="C8" s="9" t="n"/>
      <c r="D8" s="9" t="n"/>
      <c r="E8" s="16" t="n"/>
    </row>
    <row r="9">
      <c r="A9" s="1" t="inlineStr">
        <is>
          <t>ABRIL</t>
        </is>
      </c>
      <c r="B9" s="113" t="n">
        <v>1</v>
      </c>
      <c r="C9" s="9" t="n"/>
      <c r="D9" s="9" t="n"/>
      <c r="E9" s="16" t="n"/>
    </row>
    <row r="10">
      <c r="A10" s="1" t="inlineStr">
        <is>
          <t>MAYO</t>
        </is>
      </c>
      <c r="B10" s="113" t="n">
        <v>0</v>
      </c>
      <c r="C10" s="9" t="n"/>
      <c r="D10" s="9" t="n"/>
      <c r="E10" s="16" t="n"/>
    </row>
    <row r="11">
      <c r="A11" s="1" t="inlineStr">
        <is>
          <t>JUNIO</t>
        </is>
      </c>
      <c r="B11" s="113" t="n">
        <v>1</v>
      </c>
      <c r="C11" s="9" t="n"/>
      <c r="D11" s="9" t="n"/>
      <c r="E11" s="16" t="n"/>
    </row>
    <row r="12">
      <c r="A12" s="1" t="inlineStr">
        <is>
          <t>JULIO</t>
        </is>
      </c>
      <c r="B12" s="113" t="n">
        <v>0</v>
      </c>
      <c r="C12" s="9" t="n"/>
      <c r="D12" s="9" t="n"/>
      <c r="E12" s="16" t="n"/>
    </row>
    <row r="13">
      <c r="A13" s="1" t="inlineStr">
        <is>
          <t>AGOSTO</t>
        </is>
      </c>
      <c r="B13" s="113" t="n">
        <v>1</v>
      </c>
      <c r="C13" s="9" t="n"/>
      <c r="D13" s="9" t="n"/>
      <c r="E13" s="16" t="n"/>
    </row>
    <row r="14">
      <c r="A14" s="1" t="inlineStr">
        <is>
          <t>SEPTIEMBRE</t>
        </is>
      </c>
      <c r="B14" s="113" t="n">
        <v>0</v>
      </c>
      <c r="C14" s="9" t="n"/>
      <c r="D14" s="9" t="n"/>
      <c r="E14" s="16" t="n"/>
    </row>
    <row r="15">
      <c r="A15" s="1" t="inlineStr">
        <is>
          <t>OCTUBRE</t>
        </is>
      </c>
      <c r="B15" s="113" t="n">
        <v>1</v>
      </c>
      <c r="C15" s="9" t="n"/>
      <c r="D15" s="9" t="n"/>
      <c r="E15" s="16" t="n"/>
    </row>
    <row r="16">
      <c r="A16" s="1" t="inlineStr">
        <is>
          <t>NOVIEMBRE</t>
        </is>
      </c>
      <c r="B16" s="113" t="n">
        <v>0</v>
      </c>
      <c r="C16" s="9" t="n"/>
      <c r="D16" s="9" t="n"/>
      <c r="E16" s="16" t="n"/>
    </row>
    <row r="17">
      <c r="A17" s="1" t="inlineStr">
        <is>
          <t>DICIEMBRE</t>
        </is>
      </c>
      <c r="B17" s="113" t="n">
        <v>0</v>
      </c>
      <c r="C17" s="9" t="n"/>
      <c r="D17" s="9" t="n"/>
      <c r="E17" s="16" t="n"/>
    </row>
    <row r="18">
      <c r="A18" s="6" t="inlineStr">
        <is>
          <t>Totales</t>
        </is>
      </c>
      <c r="B18" s="114">
        <f>SUM(B6:B17)</f>
        <v/>
      </c>
      <c r="C18" s="9" t="n"/>
      <c r="D18" s="9" t="n"/>
      <c r="E18" s="16" t="n"/>
    </row>
    <row r="19">
      <c r="E19" s="17" t="n"/>
    </row>
    <row r="20">
      <c r="A20" s="18" t="inlineStr">
        <is>
          <t>Clientes el primer año</t>
        </is>
      </c>
      <c r="B20" s="115" t="n">
        <v>5</v>
      </c>
    </row>
    <row r="21">
      <c r="C21" s="20" t="n"/>
    </row>
    <row r="22">
      <c r="B22" s="116" t="n"/>
    </row>
  </sheetData>
  <pageMargins left="0.7" right="0.7" top="0.75" bottom="0.75" header="0.3" footer="0.3"/>
  <pageSetup orientation="portrait" horizontalDpi="429496729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"/>
  <sheetViews>
    <sheetView tabSelected="1" topLeftCell="A18" zoomScaleNormal="100" workbookViewId="0">
      <selection activeCell="B26" sqref="B26"/>
    </sheetView>
  </sheetViews>
  <sheetFormatPr baseColWidth="10" defaultRowHeight="15"/>
  <cols>
    <col width="38.140625" customWidth="1" style="101" min="1" max="1"/>
    <col width="28.28515625" customWidth="1" style="94" min="2" max="2"/>
    <col width="28.42578125" customWidth="1" style="94" min="3" max="3"/>
    <col width="22.140625" customWidth="1" style="94" min="4" max="4"/>
    <col width="19.85546875" customWidth="1" style="94" min="5" max="5"/>
    <col width="20.28515625" customWidth="1" style="94" min="6" max="6"/>
    <col width="29" customWidth="1" style="94" min="7" max="7"/>
    <col width="21.42578125" customWidth="1" style="94" min="8" max="8"/>
    <col width="26.85546875" bestFit="1" customWidth="1" style="94" min="9" max="9"/>
    <col width="19.5703125" customWidth="1" style="94" min="11" max="12"/>
  </cols>
  <sheetData>
    <row r="1">
      <c r="A1" s="102" t="inlineStr">
        <is>
          <t>PRESUPUESTO DE OPERACIÓN</t>
        </is>
      </c>
      <c r="B1" s="5" t="n"/>
      <c r="C1" s="5" t="n"/>
      <c r="G1" s="34" t="n"/>
      <c r="H1" s="126" t="n"/>
    </row>
    <row r="2">
      <c r="A2" s="102" t="n"/>
      <c r="B2" s="5" t="n"/>
      <c r="C2" s="5" t="n"/>
      <c r="G2" s="5" t="n"/>
    </row>
    <row r="3">
      <c r="A3" s="102" t="inlineStr">
        <is>
          <t>AeroGuardia</t>
        </is>
      </c>
      <c r="B3" s="5" t="n"/>
      <c r="C3" s="5" t="n"/>
      <c r="G3" s="97" t="n"/>
      <c r="H3" s="97" t="n"/>
    </row>
    <row r="4">
      <c r="A4" s="102" t="n"/>
      <c r="B4" s="5" t="n"/>
      <c r="C4" s="5" t="n"/>
      <c r="G4" s="8" t="n"/>
    </row>
    <row r="5">
      <c r="A5" s="117" t="inlineStr">
        <is>
          <t>Precios de venta</t>
        </is>
      </c>
      <c r="B5" s="118" t="inlineStr">
        <is>
          <t>Primer semestre</t>
        </is>
      </c>
      <c r="F5" s="8" t="n"/>
    </row>
    <row r="6" ht="30" customHeight="1" s="94">
      <c r="A6" s="103" t="inlineStr">
        <is>
          <t>Cuota de implementación (por cliente nuevo)</t>
        </is>
      </c>
      <c r="B6" s="122">
        <f>'Costos y precio de venta'!B71</f>
        <v/>
      </c>
      <c r="F6" s="8" t="n"/>
    </row>
    <row r="7">
      <c r="A7" s="104" t="n"/>
      <c r="B7" s="9" t="n"/>
      <c r="C7" s="9" t="n"/>
      <c r="E7" s="8" t="n"/>
      <c r="F7" s="9" t="n"/>
      <c r="G7" s="8" t="n"/>
    </row>
    <row r="8" ht="30" customHeight="1" s="94">
      <c r="A8" s="102" t="inlineStr">
        <is>
          <t>Ventas presupuestadas en unidades el primer año (clientes nuevos)</t>
        </is>
      </c>
      <c r="F8" s="9" t="n"/>
      <c r="G8" s="8" t="n"/>
    </row>
    <row r="9">
      <c r="A9" s="102" t="n"/>
      <c r="F9" s="9" t="n"/>
      <c r="G9" s="8" t="n"/>
    </row>
    <row r="10" ht="17.25" customHeight="1" s="94">
      <c r="A10" s="119" t="inlineStr">
        <is>
          <t>Concepto</t>
        </is>
      </c>
      <c r="B10" s="120" t="inlineStr">
        <is>
          <t>Primer año</t>
        </is>
      </c>
      <c r="C10" s="9" t="n"/>
      <c r="D10" s="8" t="n"/>
    </row>
    <row r="11">
      <c r="A11" s="103" t="inlineStr">
        <is>
          <t>Implementaciones nuevas</t>
        </is>
      </c>
      <c r="B11" s="7" t="n">
        <v>5</v>
      </c>
      <c r="C11" s="9" t="n"/>
      <c r="D11" s="8" t="n"/>
    </row>
    <row r="12">
      <c r="A12" s="25" t="inlineStr">
        <is>
          <t>Total</t>
        </is>
      </c>
      <c r="B12" s="7">
        <f>SUM(B11:B11)</f>
        <v/>
      </c>
      <c r="C12" s="9" t="n"/>
      <c r="D12" s="9" t="n"/>
      <c r="E12" s="10" t="n"/>
    </row>
    <row r="13">
      <c r="A13" s="104" t="n"/>
      <c r="B13" s="9" t="n"/>
      <c r="C13" s="9" t="n"/>
      <c r="E13" s="97" t="n"/>
      <c r="F13" s="10" t="n"/>
      <c r="G13" s="10" t="n"/>
      <c r="H13" s="10" t="n"/>
      <c r="I13" s="10" t="n"/>
    </row>
    <row r="14" ht="30" customHeight="1" s="94">
      <c r="A14" s="102" t="inlineStr">
        <is>
          <t>1.- Presupuesto de ventas por implementación</t>
        </is>
      </c>
    </row>
    <row r="16">
      <c r="A16" s="119" t="inlineStr">
        <is>
          <t>Servicio</t>
        </is>
      </c>
      <c r="B16" s="120" t="inlineStr">
        <is>
          <t>Primer Año</t>
        </is>
      </c>
    </row>
    <row r="17">
      <c r="A17" s="103" t="inlineStr">
        <is>
          <t>Cuota de implementación</t>
        </is>
      </c>
      <c r="B17" s="122">
        <f>B6*B12</f>
        <v/>
      </c>
    </row>
    <row r="18">
      <c r="A18" s="103" t="inlineStr">
        <is>
          <t>Total</t>
        </is>
      </c>
      <c r="B18" s="122">
        <f>SUM(B17:B17)</f>
        <v/>
      </c>
    </row>
    <row r="19">
      <c r="F19" s="97" t="n"/>
    </row>
    <row r="20">
      <c r="A20" s="119" t="inlineStr">
        <is>
          <t>Suscripción mensual</t>
        </is>
      </c>
      <c r="B20" s="120" t="inlineStr">
        <is>
          <t>Precio</t>
        </is>
      </c>
      <c r="C20" s="120" t="inlineStr">
        <is>
          <t>Costo variable</t>
        </is>
      </c>
      <c r="D20" s="97" t="n"/>
    </row>
    <row r="21" ht="30" customHeight="1" s="94">
      <c r="A21" s="103" t="inlineStr">
        <is>
          <t>Precio de suscripción / costo operativo por cliente</t>
        </is>
      </c>
      <c r="B21" s="122">
        <f>'Costos y precio de venta'!B74</f>
        <v/>
      </c>
      <c r="C21" s="122">
        <f>'Costos y precio de venta'!B73</f>
        <v/>
      </c>
      <c r="D21" s="35" t="n"/>
    </row>
    <row r="23" ht="30" customHeight="1" s="94">
      <c r="A23" s="102" t="inlineStr">
        <is>
          <t>2.-Presupuesto de gastos de venta anuales (100%, sin recorte)</t>
        </is>
      </c>
    </row>
    <row r="25">
      <c r="A25" s="25" t="inlineStr">
        <is>
          <t>Concepto</t>
        </is>
      </c>
      <c r="B25" s="6" t="inlineStr">
        <is>
          <t>Cantidad</t>
        </is>
      </c>
    </row>
    <row r="26" ht="30" customHeight="1" s="94">
      <c r="A26" s="105" t="inlineStr">
        <is>
          <t>Sueldo Director de Operaciones y Desarrollo Comercial</t>
        </is>
      </c>
      <c r="B26" s="122">
        <f>'Costos y precio de venta'!B10</f>
        <v/>
      </c>
    </row>
    <row r="27">
      <c r="A27" s="105" t="inlineStr">
        <is>
          <t>Publicidad y promoción digital</t>
        </is>
      </c>
      <c r="B27" s="122">
        <f>'Costos y precio de venta'!B11</f>
        <v/>
      </c>
    </row>
    <row r="28">
      <c r="A28" s="25" t="inlineStr">
        <is>
          <t>Total</t>
        </is>
      </c>
      <c r="B28" s="122">
        <f>SUM(B26:B27)</f>
        <v/>
      </c>
    </row>
    <row r="30" ht="45" customHeight="1" s="94">
      <c r="A30" s="102" t="inlineStr">
        <is>
          <t>3.-Presupuesto de gastos de administración anuales (100%, sin recorte)</t>
        </is>
      </c>
    </row>
    <row r="32">
      <c r="A32" s="25" t="inlineStr">
        <is>
          <t>Concepto</t>
        </is>
      </c>
      <c r="B32" s="6" t="inlineStr">
        <is>
          <t>Cantidad</t>
        </is>
      </c>
    </row>
    <row r="33" ht="30" customHeight="1" s="94">
      <c r="A33" s="105" t="inlineStr">
        <is>
          <t>Sueldo Director General (CEO) y Director de Desarrollo</t>
        </is>
      </c>
      <c r="B33" s="122">
        <f>'Costos y precio de venta'!B27</f>
        <v/>
      </c>
    </row>
    <row r="34">
      <c r="A34" s="105" t="inlineStr">
        <is>
          <t>Hospedaje de la plataforma</t>
        </is>
      </c>
      <c r="B34" s="122">
        <f>'Costos y precio de venta'!B28</f>
        <v/>
      </c>
    </row>
    <row r="35">
      <c r="A35" s="105" t="inlineStr">
        <is>
          <t>Bases de datos y almacenamiento</t>
        </is>
      </c>
      <c r="B35" s="122">
        <f>'Costos y precio de venta'!B29</f>
        <v/>
      </c>
    </row>
    <row r="36" ht="30" customHeight="1" s="94">
      <c r="A36" s="105" t="inlineStr">
        <is>
          <t>Dominio, correo empresarial y certificados SSL</t>
        </is>
      </c>
      <c r="B36" s="122">
        <f>'Costos y precio de venta'!B30</f>
        <v/>
      </c>
    </row>
    <row r="37">
      <c r="A37" s="105" t="inlineStr">
        <is>
          <t>Licencias y herramientas de desarrollo</t>
        </is>
      </c>
      <c r="B37" s="122">
        <f>'Costos y precio de venta'!B31</f>
        <v/>
      </c>
    </row>
    <row r="38">
      <c r="A38" s="105" t="inlineStr">
        <is>
          <t>Servicios contables y administrativos</t>
        </is>
      </c>
      <c r="B38" s="122">
        <f>'Costos y precio de venta'!B32</f>
        <v/>
      </c>
    </row>
    <row r="39">
      <c r="A39" s="105" t="inlineStr">
        <is>
          <t>Internet y comunicaciones</t>
        </is>
      </c>
      <c r="B39" s="122">
        <f>'Costos y precio de venta'!B33</f>
        <v/>
      </c>
    </row>
    <row r="40">
      <c r="A40" s="25" t="inlineStr">
        <is>
          <t>Total</t>
        </is>
      </c>
      <c r="B40" s="122">
        <f>SUM(B33:B39)</f>
        <v/>
      </c>
    </row>
    <row r="42" ht="30" customHeight="1" s="94">
      <c r="A42" s="101" t="inlineStr">
        <is>
          <t xml:space="preserve">Nota: los años 1-2 aplican un recorte del 50% sobre los $50,000/mes de sueldos de </t>
        </is>
      </c>
    </row>
    <row r="43" ht="45" customHeight="1" s="94">
      <c r="A43" s="101" t="inlineStr">
        <is>
          <t>fundadores (ver hoja 'Estado de Resultados'); esta hoja muestra los montos anuales al 100%.</t>
        </is>
      </c>
    </row>
    <row r="45" ht="45" customHeight="1" s="94">
      <c r="A45" s="101" t="inlineStr">
        <is>
          <t>Pago mensual del crédito (Financieros, no es gasto de operación — ver Estado de Resultados)</t>
        </is>
      </c>
      <c r="B45" s="125">
        <f>Amortización!B10*12</f>
        <v/>
      </c>
    </row>
  </sheetData>
  <pageMargins left="0.7" right="0.7" top="0.75" bottom="0.75" header="0.3" footer="0.3"/>
  <pageSetup orientation="portrait" horizontalDpi="429496729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H19" sqref="H19"/>
    </sheetView>
  </sheetViews>
  <sheetFormatPr baseColWidth="10" defaultRowHeight="15"/>
  <cols>
    <col width="34.85546875" customWidth="1" style="94" min="1" max="1"/>
    <col width="17.85546875" customWidth="1" style="94" min="2" max="2"/>
    <col width="18.140625" customWidth="1" style="94" min="3" max="3"/>
  </cols>
  <sheetData>
    <row r="1">
      <c r="A1" s="5" t="inlineStr">
        <is>
          <t>DETERMINACIÓN DEL PRECIO DE VENTA — AeroGuardia</t>
        </is>
      </c>
    </row>
    <row r="3" ht="15.75" customHeight="1" s="94">
      <c r="A3" s="107" t="inlineStr">
        <is>
          <t xml:space="preserve">Sueldos de fundadores (Director General $30,000 + Director de Operaciones $20,000 = $50,000/mes) recortados 50% en años 1-2 mientras el negocio gana tracción </t>
        </is>
      </c>
    </row>
    <row r="4" ht="15.75" customHeight="1" s="94"/>
    <row r="5" ht="15.75" customHeight="1" s="94"/>
    <row r="6" ht="15.75" customHeight="1" s="94">
      <c r="A6" s="107" t="n"/>
      <c r="B6" s="107" t="n"/>
      <c r="C6" s="107" t="n"/>
      <c r="D6" s="107" t="n"/>
    </row>
    <row r="7">
      <c r="A7" s="5" t="inlineStr">
        <is>
          <t>2.-Presupuesto de gastos de venta</t>
        </is>
      </c>
    </row>
    <row r="9">
      <c r="A9" s="6" t="inlineStr">
        <is>
          <t>Concepto</t>
        </is>
      </c>
      <c r="B9" s="6" t="inlineStr">
        <is>
          <t>Cantidad</t>
        </is>
      </c>
    </row>
    <row r="10">
      <c r="A10" s="1" t="inlineStr">
        <is>
          <t>Director de Operaciones y Desarrollo Comercial (sueldo anual, 100%)</t>
        </is>
      </c>
      <c r="B10" s="121" t="n">
        <v>240000</v>
      </c>
    </row>
    <row r="11">
      <c r="A11" s="1" t="inlineStr">
        <is>
          <t>Publicidad y promoción digital</t>
        </is>
      </c>
      <c r="B11" s="122" t="n">
        <v>60000</v>
      </c>
    </row>
    <row r="12">
      <c r="A12" s="1" t="inlineStr">
        <is>
          <t>Seguro social</t>
        </is>
      </c>
      <c r="B12" s="122" t="n">
        <v>7000</v>
      </c>
    </row>
    <row r="13">
      <c r="A13" s="1" t="inlineStr">
        <is>
          <t>Agua</t>
        </is>
      </c>
      <c r="B13" s="122" t="n">
        <v>500</v>
      </c>
    </row>
    <row r="14">
      <c r="A14" s="1" t="inlineStr">
        <is>
          <t xml:space="preserve">Luz </t>
        </is>
      </c>
      <c r="B14" s="122" t="n">
        <v>1000</v>
      </c>
    </row>
    <row r="15">
      <c r="A15" s="1" t="inlineStr">
        <is>
          <t>Teléfono</t>
        </is>
      </c>
      <c r="B15" s="122" t="n">
        <v>240</v>
      </c>
    </row>
    <row r="16">
      <c r="A16" s="1" t="inlineStr">
        <is>
          <t>Renta</t>
        </is>
      </c>
      <c r="B16" s="122" t="n">
        <v>1500</v>
      </c>
    </row>
    <row r="17">
      <c r="A17" s="1" t="inlineStr">
        <is>
          <t>Internet</t>
        </is>
      </c>
      <c r="B17" s="122" t="n">
        <v>150</v>
      </c>
    </row>
    <row r="18">
      <c r="A18" s="1" t="inlineStr">
        <is>
          <t>Mantenimiento de equipo de entrega</t>
        </is>
      </c>
      <c r="B18" s="122" t="n">
        <v>500</v>
      </c>
    </row>
    <row r="19">
      <c r="A19" s="1" t="inlineStr">
        <is>
          <t>Depreciaciones</t>
        </is>
      </c>
      <c r="B19" s="122" t="n">
        <v>500</v>
      </c>
    </row>
    <row r="20">
      <c r="A20" s="1" t="inlineStr">
        <is>
          <t>Publicidad y promoción</t>
        </is>
      </c>
      <c r="B20" s="122" t="n">
        <v>3000</v>
      </c>
    </row>
    <row r="21">
      <c r="A21" s="1" t="inlineStr">
        <is>
          <t>Gasolina</t>
        </is>
      </c>
      <c r="B21" s="122" t="n">
        <v>5000</v>
      </c>
    </row>
    <row r="22">
      <c r="A22" s="6" t="inlineStr">
        <is>
          <t>Total</t>
        </is>
      </c>
      <c r="B22" s="121">
        <f>SUM(B10:B11)</f>
        <v/>
      </c>
    </row>
    <row r="23"/>
    <row r="24">
      <c r="A24" s="5" t="inlineStr">
        <is>
          <t>3.- Gastos de administración</t>
        </is>
      </c>
    </row>
    <row r="25"/>
    <row r="26">
      <c r="A26" s="6" t="inlineStr">
        <is>
          <t>Concepto</t>
        </is>
      </c>
      <c r="B26" s="6" t="inlineStr">
        <is>
          <t>Cantidad</t>
        </is>
      </c>
    </row>
    <row r="27">
      <c r="A27" s="1" t="inlineStr">
        <is>
          <t>Director General (CEO) y Director de Desarrollo (sueldo anual, 100%)</t>
        </is>
      </c>
      <c r="B27" s="121" t="n">
        <v>360000</v>
      </c>
    </row>
    <row r="28">
      <c r="A28" s="1" t="inlineStr">
        <is>
          <t>Hospedaje de la plataforma (cloud hosting)</t>
        </is>
      </c>
      <c r="B28" s="122" t="n">
        <v>30000</v>
      </c>
    </row>
    <row r="29">
      <c r="A29" s="1" t="inlineStr">
        <is>
          <t>Bases de datos y almacenamiento</t>
        </is>
      </c>
      <c r="B29" s="122" t="n">
        <v>18000</v>
      </c>
    </row>
    <row r="30">
      <c r="A30" s="1" t="inlineStr">
        <is>
          <t>Dominio, correo empresarial y certificados SSL</t>
        </is>
      </c>
      <c r="B30" s="122" t="n">
        <v>6000</v>
      </c>
    </row>
    <row r="31">
      <c r="A31" s="1" t="inlineStr">
        <is>
          <t>Licencias y herramientas de desarrollo</t>
        </is>
      </c>
      <c r="B31" s="122" t="n">
        <v>18000</v>
      </c>
    </row>
    <row r="32">
      <c r="A32" s="1" t="inlineStr">
        <is>
          <t>Servicios contables y administrativos</t>
        </is>
      </c>
      <c r="B32" s="122" t="n">
        <v>36000</v>
      </c>
    </row>
    <row r="33">
      <c r="A33" s="1" t="inlineStr">
        <is>
          <t>Internet y comunicaciones</t>
        </is>
      </c>
      <c r="B33" s="122" t="n">
        <v>12000</v>
      </c>
    </row>
    <row r="34">
      <c r="A34" s="1" t="inlineStr">
        <is>
          <t>Papelería y útiles de oficina</t>
        </is>
      </c>
      <c r="B34" s="122" t="n">
        <v>350</v>
      </c>
    </row>
    <row r="35">
      <c r="A35" s="1" t="inlineStr">
        <is>
          <t>Depreciaciones</t>
        </is>
      </c>
      <c r="B35" s="122" t="n">
        <v>500</v>
      </c>
    </row>
    <row r="36">
      <c r="A36" s="6" t="inlineStr">
        <is>
          <t>Total</t>
        </is>
      </c>
      <c r="B36" s="121">
        <f>SUM(B27:B33)</f>
        <v/>
      </c>
    </row>
    <row r="37"/>
    <row r="38">
      <c r="A38" s="42" t="inlineStr">
        <is>
          <t>Total costos fijos anuales (100%, sin recorte)</t>
        </is>
      </c>
      <c r="B38" s="127">
        <f>B22+B36</f>
        <v/>
      </c>
    </row>
    <row r="39"/>
    <row r="40">
      <c r="A40" t="inlineStr">
        <is>
          <t>Sueldos de fundadores (subtotal, 100%)</t>
        </is>
      </c>
      <c r="B40" s="127" t="n">
        <v>600000</v>
      </c>
    </row>
    <row r="41">
      <c r="A41" s="5" t="inlineStr">
        <is>
          <t>Otros costos fijos (no se recortan)</t>
        </is>
      </c>
      <c r="B41" s="127">
        <f>B38-B40</f>
        <v/>
      </c>
    </row>
    <row r="42">
      <c r="B42" s="128" t="n"/>
    </row>
    <row r="43">
      <c r="A43" s="1" t="inlineStr">
        <is>
          <t>Insumos directos x servicio (hardware e instalación, Tabla 18)</t>
        </is>
      </c>
      <c r="B43" s="121" t="n">
        <v>12450</v>
      </c>
    </row>
    <row r="44">
      <c r="A44" s="1" t="inlineStr">
        <is>
          <t>Sueldos directos x servicio (servicios de implementación, Tabla 19)</t>
        </is>
      </c>
      <c r="B44" s="121" t="n">
        <v>5750</v>
      </c>
    </row>
    <row r="45">
      <c r="A45" s="38" t="inlineStr">
        <is>
          <t>Costo variable unitario (costo real de implementación)</t>
        </is>
      </c>
      <c r="B45" s="121">
        <f>SUM(B43:B44)</f>
        <v/>
      </c>
    </row>
    <row r="46"/>
    <row r="47"/>
    <row r="48">
      <c r="A48" s="5" t="inlineStr">
        <is>
          <t>Determinación del precio</t>
        </is>
      </c>
    </row>
    <row r="49">
      <c r="A49" s="5" t="n"/>
    </row>
    <row r="50">
      <c r="A50" s="5" t="inlineStr">
        <is>
          <t>Datos:</t>
        </is>
      </c>
    </row>
    <row r="51">
      <c r="A51" s="1" t="inlineStr">
        <is>
          <t>Costos fijos</t>
        </is>
      </c>
      <c r="B51" s="122">
        <f>B38</f>
        <v/>
      </c>
    </row>
    <row r="52">
      <c r="A52" s="1" t="inlineStr">
        <is>
          <t>Costo variable unitario</t>
        </is>
      </c>
      <c r="B52" s="122">
        <f>B45</f>
        <v/>
      </c>
    </row>
    <row r="53">
      <c r="A53" s="1" t="inlineStr">
        <is>
          <t>Ventas esperadas (implementaciones) por mes</t>
        </is>
      </c>
      <c r="B53" s="7">
        <f>'Presupuesto de operación'!#REF!</f>
        <v/>
      </c>
    </row>
    <row r="54">
      <c r="A54" s="1" t="inlineStr">
        <is>
          <t>% utilidad=</t>
        </is>
      </c>
      <c r="B54" s="45" t="n">
        <v>0.4</v>
      </c>
      <c r="C54" t="inlineStr">
        <is>
          <t>Poner el porcentaje en decimales</t>
        </is>
      </c>
    </row>
    <row r="57">
      <c r="A57" s="19" t="inlineStr">
        <is>
          <t>Costo unitario</t>
        </is>
      </c>
    </row>
    <row r="59">
      <c r="A59" s="11" t="inlineStr">
        <is>
          <t>CU=</t>
        </is>
      </c>
      <c r="B59" t="inlineStr">
        <is>
          <t>CVU+ (CF/VE)</t>
        </is>
      </c>
    </row>
    <row r="60">
      <c r="A60" s="11" t="n"/>
    </row>
    <row r="61">
      <c r="A61" s="11" t="inlineStr">
        <is>
          <t>CU=</t>
        </is>
      </c>
      <c r="B61" s="129">
        <f>B52+(B51/B53)</f>
        <v/>
      </c>
    </row>
    <row r="62">
      <c r="A62" s="11" t="n"/>
    </row>
    <row r="63">
      <c r="A63" t="inlineStr">
        <is>
          <t>Nota: el modelo genérico CU=CVU+(CF/VE) reparte TODOS los costos fijos anuales entre las pocas implementaciones nuevas del mes (B51≈0.42), por lo que sobreestima el costo unitario — no aplica bien a un negocio con doble ingreso (cuota única + suscripción recurrente). El precio comercial real (abajo) se fijó por costo real + margen, no con esta fórmula.</t>
        </is>
      </c>
    </row>
    <row r="64">
      <c r="A64" s="19" t="inlineStr">
        <is>
          <t>Precio de venta</t>
        </is>
      </c>
    </row>
    <row r="66">
      <c r="A66" s="11" t="inlineStr">
        <is>
          <t>PV=</t>
        </is>
      </c>
      <c r="B66" t="inlineStr">
        <is>
          <t>CU/1-%Utilidad</t>
        </is>
      </c>
    </row>
    <row r="68">
      <c r="A68" s="11" t="inlineStr">
        <is>
          <t>PV=</t>
        </is>
      </c>
      <c r="B68" s="129">
        <f>B61/(1-B54)</f>
        <v/>
      </c>
    </row>
    <row r="70">
      <c r="A70" s="11" t="n"/>
    </row>
    <row r="71">
      <c r="A71" s="47" t="inlineStr">
        <is>
          <t>Precio comercial de implementación fijado (Tabla 16-20 del reporte)</t>
        </is>
      </c>
      <c r="B71" s="125" t="n">
        <v>25500</v>
      </c>
      <c r="C71" t="inlineStr">
        <is>
          <t>$18,200 x 1.40 = $25,480, redondeado a $25,500 por simplicidad comercial</t>
        </is>
      </c>
    </row>
    <row r="72">
      <c r="A72" s="11" t="n"/>
    </row>
    <row r="73">
      <c r="A73" t="inlineStr">
        <is>
          <t>Costo operativo mensual por cliente activo (Tabla 21)</t>
        </is>
      </c>
      <c r="B73" s="125" t="n">
        <v>500</v>
      </c>
    </row>
    <row r="74">
      <c r="A74" s="47" t="inlineStr">
        <is>
          <t>Precio de suscripción mensual (fijado por análisis competitivo, Tabla 23)</t>
        </is>
      </c>
      <c r="B74" s="125" t="n">
        <v>4500</v>
      </c>
    </row>
    <row r="75">
      <c r="A75" t="inlineStr">
        <is>
          <t>Margen de contribución mensual por cliente</t>
        </is>
      </c>
      <c r="B75" s="125">
        <f>B74-B73</f>
        <v/>
      </c>
    </row>
    <row r="76">
      <c r="A76" s="11" t="n"/>
    </row>
    <row r="78">
      <c r="A78" s="11" t="n"/>
    </row>
    <row r="80">
      <c r="A80" s="11" t="n"/>
    </row>
  </sheetData>
  <mergeCells count="1">
    <mergeCell ref="A3:D5"/>
  </mergeCells>
  <pageMargins left="0.7" right="0.7" top="0.75" bottom="0.75" header="0.3" footer="0.3"/>
  <pageSetup orientation="portrait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O16"/>
  <sheetViews>
    <sheetView topLeftCell="B1" workbookViewId="0">
      <selection activeCell="C12" sqref="C12"/>
    </sheetView>
  </sheetViews>
  <sheetFormatPr baseColWidth="10" defaultRowHeight="15"/>
  <cols>
    <col width="23" customWidth="1" style="94" min="2" max="2"/>
    <col width="14.28515625" customWidth="1" style="94" min="3" max="3"/>
    <col width="13" customWidth="1" style="94" min="4" max="4"/>
    <col width="12.5703125" bestFit="1" customWidth="1" style="94" min="5" max="13"/>
    <col width="14.5703125" customWidth="1" style="94" min="14" max="14"/>
    <col width="14.140625" bestFit="1" customWidth="1" style="94" min="15" max="15"/>
  </cols>
  <sheetData>
    <row r="1">
      <c r="B1" s="22" t="inlineStr">
        <is>
          <t>VENTAS PRESUPUESTADAS AÑO 1 EN $ — AeroGuardia</t>
        </is>
      </c>
    </row>
    <row r="2">
      <c r="B2" s="5" t="n"/>
    </row>
    <row r="3">
      <c r="B3" s="1" t="inlineStr">
        <is>
          <t>Concepto</t>
        </is>
      </c>
      <c r="C3" s="24" t="inlineStr">
        <is>
          <t>Enero</t>
        </is>
      </c>
      <c r="D3" s="21" t="inlineStr">
        <is>
          <t>Febrero</t>
        </is>
      </c>
      <c r="E3" s="21" t="inlineStr">
        <is>
          <t>Marzo</t>
        </is>
      </c>
      <c r="F3" s="21" t="inlineStr">
        <is>
          <t>Abril</t>
        </is>
      </c>
      <c r="G3" s="21" t="inlineStr">
        <is>
          <t>Mayo</t>
        </is>
      </c>
      <c r="H3" s="21" t="inlineStr">
        <is>
          <t>Junio</t>
        </is>
      </c>
      <c r="I3" s="21" t="inlineStr">
        <is>
          <t>Julio</t>
        </is>
      </c>
      <c r="J3" s="21" t="inlineStr">
        <is>
          <t>Agosto</t>
        </is>
      </c>
      <c r="K3" s="21" t="inlineStr">
        <is>
          <t>Septiembre</t>
        </is>
      </c>
      <c r="L3" s="21" t="inlineStr">
        <is>
          <t>Octubre</t>
        </is>
      </c>
      <c r="M3" s="21" t="inlineStr">
        <is>
          <t>Noviembre</t>
        </is>
      </c>
      <c r="N3" s="21" t="inlineStr">
        <is>
          <t>Diciembre</t>
        </is>
      </c>
      <c r="O3" s="6" t="inlineStr">
        <is>
          <t>Total</t>
        </is>
      </c>
    </row>
    <row r="4">
      <c r="B4" s="100" t="inlineStr">
        <is>
          <t>Clientes nuevos (implementaciones)</t>
        </is>
      </c>
      <c r="C4" s="30">
        <f>' Proyeccion de ventas en unidad'!B6</f>
        <v/>
      </c>
      <c r="D4" s="30">
        <f>' Proyeccion de ventas en unidad'!B7</f>
        <v/>
      </c>
      <c r="E4" s="30">
        <f>' Proyeccion de ventas en unidad'!B8</f>
        <v/>
      </c>
      <c r="F4" s="30">
        <f>' Proyeccion de ventas en unidad'!B9</f>
        <v/>
      </c>
      <c r="G4" s="30">
        <f>' Proyeccion de ventas en unidad'!B10</f>
        <v/>
      </c>
      <c r="H4" s="30">
        <f>' Proyeccion de ventas en unidad'!B11</f>
        <v/>
      </c>
      <c r="I4" s="30">
        <f>' Proyeccion de ventas en unidad'!B12</f>
        <v/>
      </c>
      <c r="J4" s="30">
        <f>' Proyeccion de ventas en unidad'!B13</f>
        <v/>
      </c>
      <c r="K4" s="30">
        <f>' Proyeccion de ventas en unidad'!B14</f>
        <v/>
      </c>
      <c r="L4" s="30">
        <f>' Proyeccion de ventas en unidad'!B15</f>
        <v/>
      </c>
      <c r="M4" s="30">
        <f>' Proyeccion de ventas en unidad'!B16</f>
        <v/>
      </c>
      <c r="N4" s="30">
        <f>' Proyeccion de ventas en unidad'!B17</f>
        <v/>
      </c>
      <c r="O4" s="7">
        <f>SUM(C4:N4)</f>
        <v/>
      </c>
    </row>
    <row r="5">
      <c r="B5" s="1" t="inlineStr">
        <is>
          <t>Clientes activos (acumulado)</t>
        </is>
      </c>
      <c r="C5" s="29">
        <f>C4</f>
        <v/>
      </c>
      <c r="D5" s="29">
        <f>C5+D4</f>
        <v/>
      </c>
      <c r="E5" s="29">
        <f>D5+E4</f>
        <v/>
      </c>
      <c r="F5" s="29">
        <f>E5+F4</f>
        <v/>
      </c>
      <c r="G5" s="29">
        <f>F5+G4</f>
        <v/>
      </c>
      <c r="H5" s="29">
        <f>G5+H4</f>
        <v/>
      </c>
      <c r="I5" s="29">
        <f>H5+I4</f>
        <v/>
      </c>
      <c r="J5" s="29">
        <f>I5+J4</f>
        <v/>
      </c>
      <c r="K5" s="29">
        <f>J5+K4</f>
        <v/>
      </c>
      <c r="L5" s="29">
        <f>K5+L4</f>
        <v/>
      </c>
      <c r="M5" s="29">
        <f>L5+M4</f>
        <v/>
      </c>
      <c r="N5" s="29">
        <f>M5+N4</f>
        <v/>
      </c>
      <c r="O5" s="1" t="n"/>
    </row>
    <row r="6">
      <c r="B6" s="1" t="inlineStr">
        <is>
          <t>Precio de implementación</t>
        </is>
      </c>
      <c r="C6" s="122">
        <f>'Costos y precio de venta'!$B$71</f>
        <v/>
      </c>
      <c r="D6" s="122">
        <f>'Costos y precio de venta'!$B$71</f>
        <v/>
      </c>
      <c r="E6" s="122">
        <f>'Costos y precio de venta'!$B$71</f>
        <v/>
      </c>
      <c r="F6" s="122">
        <f>'Costos y precio de venta'!$B$71</f>
        <v/>
      </c>
      <c r="G6" s="122">
        <f>'Costos y precio de venta'!$B$71</f>
        <v/>
      </c>
      <c r="H6" s="122">
        <f>'Costos y precio de venta'!$B$71</f>
        <v/>
      </c>
      <c r="I6" s="122">
        <f>'Costos y precio de venta'!$B$71</f>
        <v/>
      </c>
      <c r="J6" s="122">
        <f>'Costos y precio de venta'!$B$71</f>
        <v/>
      </c>
      <c r="K6" s="122">
        <f>'Costos y precio de venta'!$B$71</f>
        <v/>
      </c>
      <c r="L6" s="122">
        <f>'Costos y precio de venta'!$B$71</f>
        <v/>
      </c>
      <c r="M6" s="122">
        <f>'Costos y precio de venta'!$B$71</f>
        <v/>
      </c>
      <c r="N6" s="122">
        <f>'Costos y precio de venta'!$B$71</f>
        <v/>
      </c>
      <c r="O6" s="122">
        <f>SUM(C6:N6)</f>
        <v/>
      </c>
    </row>
    <row r="7">
      <c r="B7" t="inlineStr">
        <is>
          <t>Ingreso por implementación</t>
        </is>
      </c>
      <c r="C7" s="125">
        <f>C4*C6</f>
        <v/>
      </c>
      <c r="D7" s="125">
        <f>D4*D6</f>
        <v/>
      </c>
      <c r="E7" s="125">
        <f>E4*E6</f>
        <v/>
      </c>
      <c r="F7" s="125">
        <f>F4*F6</f>
        <v/>
      </c>
      <c r="G7" s="125">
        <f>G4*G6</f>
        <v/>
      </c>
      <c r="H7" s="125">
        <f>H4*H6</f>
        <v/>
      </c>
      <c r="I7" s="125">
        <f>I4*I6</f>
        <v/>
      </c>
      <c r="J7" s="125">
        <f>J4*J6</f>
        <v/>
      </c>
      <c r="K7" s="125">
        <f>K4*K6</f>
        <v/>
      </c>
      <c r="L7" s="125">
        <f>L4*L6</f>
        <v/>
      </c>
      <c r="M7" s="125">
        <f>M4*M6</f>
        <v/>
      </c>
      <c r="N7" s="125">
        <f>N4*N6</f>
        <v/>
      </c>
      <c r="O7" s="125">
        <f>SUM(C7:N7)</f>
        <v/>
      </c>
    </row>
    <row r="8">
      <c r="B8" t="inlineStr">
        <is>
          <t>Precio de suscripción mensual</t>
        </is>
      </c>
      <c r="C8" s="130">
        <f>'Costos y precio de venta'!$B$74</f>
        <v/>
      </c>
      <c r="D8" s="130">
        <f>'Costos y precio de venta'!$B$74</f>
        <v/>
      </c>
      <c r="E8" s="130">
        <f>'Costos y precio de venta'!$B$74</f>
        <v/>
      </c>
      <c r="F8" s="130">
        <f>'Costos y precio de venta'!$B$74</f>
        <v/>
      </c>
      <c r="G8" s="130">
        <f>'Costos y precio de venta'!$B$74</f>
        <v/>
      </c>
      <c r="H8" s="130">
        <f>'Costos y precio de venta'!$B$74</f>
        <v/>
      </c>
      <c r="I8" s="130">
        <f>'Costos y precio de venta'!$B$74</f>
        <v/>
      </c>
      <c r="J8" s="130">
        <f>'Costos y precio de venta'!$B$74</f>
        <v/>
      </c>
      <c r="K8" s="130">
        <f>'Costos y precio de venta'!$B$74</f>
        <v/>
      </c>
      <c r="L8" s="130">
        <f>'Costos y precio de venta'!$B$74</f>
        <v/>
      </c>
      <c r="M8" s="130">
        <f>'Costos y precio de venta'!$B$74</f>
        <v/>
      </c>
      <c r="N8" s="130">
        <f>'Costos y precio de venta'!$B$74</f>
        <v/>
      </c>
    </row>
    <row r="9">
      <c r="B9" t="inlineStr">
        <is>
          <t>Ingreso por suscripción</t>
        </is>
      </c>
      <c r="C9" s="122">
        <f>C5*C8</f>
        <v/>
      </c>
      <c r="D9" s="122">
        <f>D5*D8</f>
        <v/>
      </c>
      <c r="E9" s="122">
        <f>E5*E8</f>
        <v/>
      </c>
      <c r="F9" s="122">
        <f>F5*F8</f>
        <v/>
      </c>
      <c r="G9" s="122">
        <f>G5*G8</f>
        <v/>
      </c>
      <c r="H9" s="122">
        <f>H5*H8</f>
        <v/>
      </c>
      <c r="I9" s="122">
        <f>I5*I8</f>
        <v/>
      </c>
      <c r="J9" s="122">
        <f>J5*J8</f>
        <v/>
      </c>
      <c r="K9" s="122">
        <f>K5*K8</f>
        <v/>
      </c>
      <c r="L9" s="122">
        <f>L5*L8</f>
        <v/>
      </c>
      <c r="M9" s="122">
        <f>M5*M8</f>
        <v/>
      </c>
      <c r="N9" s="122">
        <f>N5*N8</f>
        <v/>
      </c>
      <c r="O9" s="122">
        <f>SUM(C9:N9)</f>
        <v/>
      </c>
    </row>
    <row r="10">
      <c r="B10" t="inlineStr">
        <is>
          <t>Total ventas</t>
        </is>
      </c>
      <c r="C10" s="125">
        <f>C7+C9</f>
        <v/>
      </c>
      <c r="D10" s="125">
        <f>D7+D9</f>
        <v/>
      </c>
      <c r="E10" s="125">
        <f>E7+E9</f>
        <v/>
      </c>
      <c r="F10" s="125">
        <f>F7+F9</f>
        <v/>
      </c>
      <c r="G10" s="125">
        <f>G7+G9</f>
        <v/>
      </c>
      <c r="H10" s="125">
        <f>H7+H9</f>
        <v/>
      </c>
      <c r="I10" s="125">
        <f>I7+I9</f>
        <v/>
      </c>
      <c r="J10" s="125">
        <f>J7+J9</f>
        <v/>
      </c>
      <c r="K10" s="125">
        <f>K7+K9</f>
        <v/>
      </c>
      <c r="L10" s="125">
        <f>L7+L9</f>
        <v/>
      </c>
      <c r="M10" s="125">
        <f>M7+M9</f>
        <v/>
      </c>
      <c r="N10" s="125">
        <f>N7+N9</f>
        <v/>
      </c>
      <c r="O10" s="125">
        <f>SUM(C10:N10)</f>
        <v/>
      </c>
    </row>
    <row r="11">
      <c r="I11" s="131" t="n"/>
    </row>
    <row r="12">
      <c r="B12" t="inlineStr">
        <is>
          <t>Costo variable de implementación</t>
        </is>
      </c>
      <c r="C12" s="125">
        <f>'Costos y precio de venta'!$B$45</f>
        <v/>
      </c>
      <c r="D12" s="125">
        <f>'Costos y precio de venta'!$B$45</f>
        <v/>
      </c>
      <c r="E12" s="125">
        <f>'Costos y precio de venta'!$B$45</f>
        <v/>
      </c>
      <c r="F12" s="125">
        <f>'Costos y precio de venta'!$B$45</f>
        <v/>
      </c>
      <c r="G12" s="125">
        <f>'Costos y precio de venta'!$B$45</f>
        <v/>
      </c>
      <c r="H12" s="125">
        <f>'Costos y precio de venta'!$B$45</f>
        <v/>
      </c>
      <c r="I12" s="125">
        <f>'Costos y precio de venta'!$B$45</f>
        <v/>
      </c>
      <c r="J12" s="125">
        <f>'Costos y precio de venta'!$B$45</f>
        <v/>
      </c>
      <c r="K12" s="125">
        <f>'Costos y precio de venta'!$B$45</f>
        <v/>
      </c>
      <c r="L12" s="125">
        <f>'Costos y precio de venta'!$B$45</f>
        <v/>
      </c>
      <c r="M12" s="125">
        <f>'Costos y precio de venta'!$B$45</f>
        <v/>
      </c>
      <c r="N12" s="125">
        <f>'Costos y precio de venta'!$B$45</f>
        <v/>
      </c>
    </row>
    <row r="13">
      <c r="B13" t="inlineStr">
        <is>
          <t>Costo de implementación (COGS)</t>
        </is>
      </c>
      <c r="C13" s="125">
        <f>C4*C12</f>
        <v/>
      </c>
      <c r="D13" s="125">
        <f>D4*D12</f>
        <v/>
      </c>
      <c r="E13" s="125">
        <f>E4*E12</f>
        <v/>
      </c>
      <c r="F13" s="125">
        <f>F4*F12</f>
        <v/>
      </c>
      <c r="G13" s="125">
        <f>G4*G12</f>
        <v/>
      </c>
      <c r="H13" s="125">
        <f>H4*H12</f>
        <v/>
      </c>
      <c r="I13" s="125">
        <f>I4*I12</f>
        <v/>
      </c>
      <c r="J13" s="125">
        <f>J4*J12</f>
        <v/>
      </c>
      <c r="K13" s="125">
        <f>K4*K12</f>
        <v/>
      </c>
      <c r="L13" s="125">
        <f>L4*L12</f>
        <v/>
      </c>
      <c r="M13" s="125">
        <f>M4*M12</f>
        <v/>
      </c>
      <c r="N13" s="125">
        <f>N4*N12</f>
        <v/>
      </c>
      <c r="O13" s="125">
        <f>SUM(C13:N13)</f>
        <v/>
      </c>
    </row>
    <row r="14">
      <c r="B14" t="inlineStr">
        <is>
          <t>Costo operativo mensual por cliente activo</t>
        </is>
      </c>
      <c r="C14" s="125">
        <f>'Costos y precio de venta'!$B$73</f>
        <v/>
      </c>
      <c r="D14" s="125">
        <f>'Costos y precio de venta'!$B$73</f>
        <v/>
      </c>
      <c r="E14" s="125">
        <f>'Costos y precio de venta'!$B$73</f>
        <v/>
      </c>
      <c r="F14" s="125">
        <f>'Costos y precio de venta'!$B$73</f>
        <v/>
      </c>
      <c r="G14" s="125">
        <f>'Costos y precio de venta'!$B$73</f>
        <v/>
      </c>
      <c r="H14" s="125">
        <f>'Costos y precio de venta'!$B$73</f>
        <v/>
      </c>
      <c r="I14" s="125">
        <f>'Costos y precio de venta'!$B$73</f>
        <v/>
      </c>
      <c r="J14" s="125">
        <f>'Costos y precio de venta'!$B$73</f>
        <v/>
      </c>
      <c r="K14" s="125">
        <f>'Costos y precio de venta'!$B$73</f>
        <v/>
      </c>
      <c r="L14" s="125">
        <f>'Costos y precio de venta'!$B$73</f>
        <v/>
      </c>
      <c r="M14" s="125">
        <f>'Costos y precio de venta'!$B$73</f>
        <v/>
      </c>
      <c r="N14" s="125">
        <f>'Costos y precio de venta'!$B$73</f>
        <v/>
      </c>
    </row>
    <row r="15">
      <c r="B15" t="inlineStr">
        <is>
          <t>Costo operativo de clientes activos</t>
        </is>
      </c>
      <c r="C15" s="125">
        <f>C5*C14</f>
        <v/>
      </c>
      <c r="D15" s="125">
        <f>D5*D14</f>
        <v/>
      </c>
      <c r="E15" s="125">
        <f>E5*E14</f>
        <v/>
      </c>
      <c r="F15" s="125">
        <f>F5*F14</f>
        <v/>
      </c>
      <c r="G15" s="125">
        <f>G5*G14</f>
        <v/>
      </c>
      <c r="H15" s="125">
        <f>H5*H14</f>
        <v/>
      </c>
      <c r="I15" s="125">
        <f>I5*I14</f>
        <v/>
      </c>
      <c r="J15" s="125">
        <f>J5*J14</f>
        <v/>
      </c>
      <c r="K15" s="125">
        <f>K5*K14</f>
        <v/>
      </c>
      <c r="L15" s="125">
        <f>L5*L14</f>
        <v/>
      </c>
      <c r="M15" s="125">
        <f>M5*M14</f>
        <v/>
      </c>
      <c r="N15" s="125">
        <f>N5*N14</f>
        <v/>
      </c>
      <c r="O15" s="125">
        <f>SUM(C15:N15)</f>
        <v/>
      </c>
    </row>
    <row r="16">
      <c r="B16" t="inlineStr">
        <is>
          <t>Costo de ventas total</t>
        </is>
      </c>
      <c r="C16" s="125">
        <f>C13+C15</f>
        <v/>
      </c>
      <c r="D16" s="125">
        <f>D13+D15</f>
        <v/>
      </c>
      <c r="E16" s="125">
        <f>E13+E15</f>
        <v/>
      </c>
      <c r="F16" s="125">
        <f>F13+F15</f>
        <v/>
      </c>
      <c r="G16" s="125">
        <f>G13+G15</f>
        <v/>
      </c>
      <c r="H16" s="125">
        <f>H13+H15</f>
        <v/>
      </c>
      <c r="I16" s="125">
        <f>I13+I15</f>
        <v/>
      </c>
      <c r="J16" s="125">
        <f>J13+J15</f>
        <v/>
      </c>
      <c r="K16" s="125">
        <f>K13+K15</f>
        <v/>
      </c>
      <c r="L16" s="125">
        <f>L13+L15</f>
        <v/>
      </c>
      <c r="M16" s="125">
        <f>M13+M15</f>
        <v/>
      </c>
      <c r="N16" s="125">
        <f>N13+N15</f>
        <v/>
      </c>
      <c r="O16" s="125">
        <f>SUM(C16:N16)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B30"/>
  <sheetViews>
    <sheetView topLeftCell="A4" workbookViewId="0">
      <selection activeCell="R25" sqref="R25"/>
    </sheetView>
  </sheetViews>
  <sheetFormatPr baseColWidth="10" defaultRowHeight="15"/>
  <cols>
    <col width="40.7109375" customWidth="1" style="94" min="1" max="1"/>
    <col width="15.140625" customWidth="1" style="94" min="2" max="2"/>
    <col width="13.28515625" customWidth="1" style="94" min="3" max="3"/>
    <col width="14.28515625" customWidth="1" style="94" min="4" max="4"/>
    <col width="12.5703125" bestFit="1" customWidth="1" style="94" min="5" max="5"/>
    <col width="17.85546875" customWidth="1" style="94" min="6" max="6"/>
    <col width="14.140625" customWidth="1" style="94" min="7" max="7"/>
    <col width="12.5703125" bestFit="1" customWidth="1" style="94" min="8" max="10"/>
    <col width="14.140625" customWidth="1" style="94" min="11" max="11"/>
    <col width="14.85546875" customWidth="1" style="94" min="12" max="12"/>
    <col width="15.28515625" customWidth="1" style="94" min="13" max="13"/>
    <col width="16.85546875" customWidth="1" style="94" min="14" max="14"/>
    <col width="18" customWidth="1" style="94" min="15" max="15"/>
    <col width="17.42578125" customWidth="1" style="94" min="16" max="16"/>
    <col width="16.28515625" customWidth="1" style="94" min="17" max="17"/>
    <col width="15.42578125" customWidth="1" style="94" min="18" max="18"/>
    <col width="16.42578125" customWidth="1" style="94" min="19" max="19"/>
  </cols>
  <sheetData>
    <row r="2">
      <c r="A2" s="5" t="inlineStr">
        <is>
          <t>AeroGuardia</t>
        </is>
      </c>
    </row>
    <row r="4" ht="35.25" customHeight="1" s="94">
      <c r="A4" s="38" t="inlineStr">
        <is>
          <t>ESTADO DE RESULTADOS PRESUPUESTADO</t>
        </is>
      </c>
      <c r="B4" s="6" t="inlineStr">
        <is>
          <t>AÑO 1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32" t="inlineStr">
        <is>
          <t>PROYECCIÓN POR CRECIMIENTO DE CARTERA DE CLIENTES (Tabla 26 del reporte, años 2-5)</t>
        </is>
      </c>
      <c r="P4" s="132" t="inlineStr">
        <is>
          <t xml:space="preserve">INCREMENTO DE VENTAS DEL 10% </t>
        </is>
      </c>
      <c r="Q4" s="132" t="inlineStr">
        <is>
          <t xml:space="preserve">INCREMENTO DE VENTAS DEL 15% </t>
        </is>
      </c>
      <c r="R4" s="132" t="inlineStr">
        <is>
          <t xml:space="preserve">INCREMENTO DE VENTAS DEL 25% </t>
        </is>
      </c>
      <c r="S4" s="36" t="inlineStr">
        <is>
          <t>AÑOS 6-8: EXTRAPOLACIÓN (no está en el reporte — ver nota)</t>
        </is>
      </c>
      <c r="V4" t="inlineStr">
        <is>
          <t>TOTAL
8 AÑOS</t>
        </is>
      </c>
      <c r="Y4" s="47" t="inlineStr">
        <is>
          <t>Supuestos años 2-8</t>
        </is>
      </c>
    </row>
    <row r="5">
      <c r="B5" s="21" t="inlineStr">
        <is>
          <t>Enero</t>
        </is>
      </c>
      <c r="C5" s="21" t="inlineStr">
        <is>
          <t>Febrero</t>
        </is>
      </c>
      <c r="D5" s="21" t="inlineStr">
        <is>
          <t>Marzo</t>
        </is>
      </c>
      <c r="E5" s="21" t="inlineStr">
        <is>
          <t>Abril</t>
        </is>
      </c>
      <c r="F5" s="21" t="inlineStr">
        <is>
          <t>Mayo</t>
        </is>
      </c>
      <c r="G5" s="21" t="inlineStr">
        <is>
          <t>Junio</t>
        </is>
      </c>
      <c r="H5" s="21" t="inlineStr">
        <is>
          <t>Julio</t>
        </is>
      </c>
      <c r="I5" s="21" t="inlineStr">
        <is>
          <t>Agosto</t>
        </is>
      </c>
      <c r="J5" s="21" t="inlineStr">
        <is>
          <t>Septiembre</t>
        </is>
      </c>
      <c r="K5" s="21" t="inlineStr">
        <is>
          <t>Octubre</t>
        </is>
      </c>
      <c r="L5" s="21" t="inlineStr">
        <is>
          <t>Noviembre</t>
        </is>
      </c>
      <c r="M5" s="21" t="inlineStr">
        <is>
          <t>Diciembre</t>
        </is>
      </c>
      <c r="N5" s="21" t="inlineStr">
        <is>
          <t>Total año 1</t>
        </is>
      </c>
      <c r="O5" s="133" t="inlineStr">
        <is>
          <t>AÑO 2</t>
        </is>
      </c>
      <c r="P5" s="133" t="inlineStr">
        <is>
          <t>AÑO 3</t>
        </is>
      </c>
      <c r="Q5" s="133" t="inlineStr">
        <is>
          <t>AÑO 4</t>
        </is>
      </c>
      <c r="R5" s="133" t="inlineStr">
        <is>
          <t>AÑO 5</t>
        </is>
      </c>
      <c r="S5" s="55" t="inlineStr">
        <is>
          <t>AÑO 6</t>
        </is>
      </c>
      <c r="T5" s="56" t="inlineStr">
        <is>
          <t>AÑO 7</t>
        </is>
      </c>
      <c r="U5" s="56" t="inlineStr">
        <is>
          <t>AÑO 8</t>
        </is>
      </c>
      <c r="Y5" s="47" t="inlineStr">
        <is>
          <t>Año</t>
        </is>
      </c>
      <c r="Z5" s="47" t="inlineStr">
        <is>
          <t>Clientes inicio</t>
        </is>
      </c>
      <c r="AA5" s="47" t="inlineStr">
        <is>
          <t>Clientes fin</t>
        </is>
      </c>
      <c r="AB5" s="47" t="inlineStr">
        <is>
          <t>Clientes nuevos</t>
        </is>
      </c>
    </row>
    <row r="6">
      <c r="A6" s="38" t="inlineStr">
        <is>
          <t>Ventas</t>
        </is>
      </c>
      <c r="B6" s="121">
        <f>'Ventas presupuestadas en $'!C10</f>
        <v/>
      </c>
      <c r="C6" s="121">
        <f>'Ventas presupuestadas en $'!D10</f>
        <v/>
      </c>
      <c r="D6" s="121">
        <f>'Ventas presupuestadas en $'!E10</f>
        <v/>
      </c>
      <c r="E6" s="121">
        <f>'Ventas presupuestadas en $'!F10</f>
        <v/>
      </c>
      <c r="F6" s="121">
        <f>'Ventas presupuestadas en $'!G10</f>
        <v/>
      </c>
      <c r="G6" s="121">
        <f>'Ventas presupuestadas en $'!H10</f>
        <v/>
      </c>
      <c r="H6" s="121">
        <f>'Ventas presupuestadas en $'!I10</f>
        <v/>
      </c>
      <c r="I6" s="121">
        <f>'Ventas presupuestadas en $'!J10</f>
        <v/>
      </c>
      <c r="J6" s="121">
        <f>'Ventas presupuestadas en $'!K10</f>
        <v/>
      </c>
      <c r="K6" s="121">
        <f>'Ventas presupuestadas en $'!L10</f>
        <v/>
      </c>
      <c r="L6" s="121">
        <f>'Ventas presupuestadas en $'!M10</f>
        <v/>
      </c>
      <c r="M6" s="121">
        <f>'Ventas presupuestadas en $'!N10</f>
        <v/>
      </c>
      <c r="N6" s="121">
        <f>SUM(B6:M6)</f>
        <v/>
      </c>
      <c r="O6" s="121">
        <f>((Z6+AA6)/2)*'Costos y precio de venta'!$B$74*12+AB6*'Costos y precio de venta'!$B$71</f>
        <v/>
      </c>
      <c r="P6" s="121">
        <f>((Z7+AA7)/2)*'Costos y precio de venta'!$B$74*12+AB7*'Costos y precio de venta'!$B$71</f>
        <v/>
      </c>
      <c r="Q6" s="122">
        <f>((Z8+AA8)/2)*'Costos y precio de venta'!$B$74*12+AB8*'Costos y precio de venta'!$B$71</f>
        <v/>
      </c>
      <c r="R6" s="122">
        <f>((Z9+AA9)/2)*'Costos y precio de venta'!$B$74*12+AB9*'Costos y precio de venta'!$B$71</f>
        <v/>
      </c>
      <c r="S6" s="134">
        <f>((Z10+AA10)/2)*'Costos y precio de venta'!$B$74*12+AB10*'Costos y precio de venta'!$B$71</f>
        <v/>
      </c>
      <c r="T6" s="135">
        <f>((Z11+AA11)/2)*'Costos y precio de venta'!$B$74*12+AB11*'Costos y precio de venta'!$B$71</f>
        <v/>
      </c>
      <c r="U6" s="135">
        <f>((Z12+AA12)/2)*'Costos y precio de venta'!$B$74*12+AB12*'Costos y precio de venta'!$B$71</f>
        <v/>
      </c>
      <c r="V6" s="125">
        <f>SUM(N6:U6)</f>
        <v/>
      </c>
      <c r="Y6" t="n">
        <v>2</v>
      </c>
      <c r="Z6" t="n">
        <v>5</v>
      </c>
      <c r="AA6" t="n">
        <v>12</v>
      </c>
      <c r="AB6" t="n">
        <v>7</v>
      </c>
    </row>
    <row r="7" ht="17.25" customHeight="1" s="94">
      <c r="A7" s="59" t="inlineStr">
        <is>
          <t>Costo de Ventas</t>
        </is>
      </c>
      <c r="B7" s="136">
        <f>'Ventas presupuestadas en $'!C16</f>
        <v/>
      </c>
      <c r="C7" s="136">
        <f>'Ventas presupuestadas en $'!D16</f>
        <v/>
      </c>
      <c r="D7" s="136">
        <f>'Ventas presupuestadas en $'!E16</f>
        <v/>
      </c>
      <c r="E7" s="136">
        <f>'Ventas presupuestadas en $'!F16</f>
        <v/>
      </c>
      <c r="F7" s="136">
        <f>'Ventas presupuestadas en $'!G16</f>
        <v/>
      </c>
      <c r="G7" s="136">
        <f>'Ventas presupuestadas en $'!H16</f>
        <v/>
      </c>
      <c r="H7" s="136">
        <f>'Ventas presupuestadas en $'!I16</f>
        <v/>
      </c>
      <c r="I7" s="136">
        <f>'Ventas presupuestadas en $'!J16</f>
        <v/>
      </c>
      <c r="J7" s="136">
        <f>'Ventas presupuestadas en $'!K16</f>
        <v/>
      </c>
      <c r="K7" s="136">
        <f>'Ventas presupuestadas en $'!L16</f>
        <v/>
      </c>
      <c r="L7" s="136">
        <f>'Ventas presupuestadas en $'!M16</f>
        <v/>
      </c>
      <c r="M7" s="136">
        <f>'Ventas presupuestadas en $'!N16</f>
        <v/>
      </c>
      <c r="N7" s="121">
        <f>SUM(B7:M7)</f>
        <v/>
      </c>
      <c r="O7" s="121">
        <f>((Z6+AA6)/2)*'Costos y precio de venta'!$B$73*12+AB6*'Costos y precio de venta'!$B$45</f>
        <v/>
      </c>
      <c r="P7" s="137">
        <f>((Z7+AA7)/2)*'Costos y precio de venta'!$B$73*12+AB7*'Costos y precio de venta'!$B$45</f>
        <v/>
      </c>
      <c r="Q7" s="136">
        <f>((Z8+AA8)/2)*'Costos y precio de venta'!$B$73*12+AB8*'Costos y precio de venta'!$B$45</f>
        <v/>
      </c>
      <c r="R7" s="136">
        <f>((Z9+AA9)/2)*'Costos y precio de venta'!$B$73*12+AB9*'Costos y precio de venta'!$B$45</f>
        <v/>
      </c>
      <c r="S7" s="134">
        <f>((Z10+AA10)/2)*'Costos y precio de venta'!$B$73*12+AB10*'Costos y precio de venta'!$B$45</f>
        <v/>
      </c>
      <c r="T7" s="135">
        <f>((Z11+AA11)/2)*'Costos y precio de venta'!$B$73*12+AB11*'Costos y precio de venta'!$B$45</f>
        <v/>
      </c>
      <c r="U7" s="135">
        <f>((Z12+AA12)/2)*'Costos y precio de venta'!$B$73*12+AB12*'Costos y precio de venta'!$B$45</f>
        <v/>
      </c>
      <c r="V7" s="125">
        <f>SUM(N7:U7)</f>
        <v/>
      </c>
      <c r="Y7" t="n">
        <v>3</v>
      </c>
      <c r="Z7" t="n">
        <v>12</v>
      </c>
      <c r="AA7" t="n">
        <v>20</v>
      </c>
      <c r="AB7" t="n">
        <v>8</v>
      </c>
    </row>
    <row r="8">
      <c r="A8" s="38" t="inlineStr">
        <is>
          <t>Utilidad Bruta</t>
        </is>
      </c>
      <c r="B8" s="121">
        <f>B6-B7</f>
        <v/>
      </c>
      <c r="C8" s="121">
        <f>C6-C7</f>
        <v/>
      </c>
      <c r="D8" s="121">
        <f>D6-D7</f>
        <v/>
      </c>
      <c r="E8" s="121">
        <f>E6-E7</f>
        <v/>
      </c>
      <c r="F8" s="121">
        <f>F6-F7</f>
        <v/>
      </c>
      <c r="G8" s="121">
        <f>G6-G7</f>
        <v/>
      </c>
      <c r="H8" s="121">
        <f>H6-H7</f>
        <v/>
      </c>
      <c r="I8" s="121">
        <f>I6-I7</f>
        <v/>
      </c>
      <c r="J8" s="121">
        <f>J6-J7</f>
        <v/>
      </c>
      <c r="K8" s="121">
        <f>K6-K7</f>
        <v/>
      </c>
      <c r="L8" s="121">
        <f>L6-L7</f>
        <v/>
      </c>
      <c r="M8" s="121">
        <f>M6-M7</f>
        <v/>
      </c>
      <c r="N8" s="121">
        <f>N6-N7</f>
        <v/>
      </c>
      <c r="O8" s="121">
        <f>O6-O7</f>
        <v/>
      </c>
      <c r="P8" s="121">
        <f>P6-P7</f>
        <v/>
      </c>
      <c r="Q8" s="122">
        <f>Q6-Q7</f>
        <v/>
      </c>
      <c r="R8" s="122">
        <f>R6-R7</f>
        <v/>
      </c>
      <c r="S8" s="134">
        <f>S6-S7</f>
        <v/>
      </c>
      <c r="T8" s="135">
        <f>T6-T7</f>
        <v/>
      </c>
      <c r="U8" s="135">
        <f>U6-U7</f>
        <v/>
      </c>
      <c r="V8" s="125">
        <f>V6-V7</f>
        <v/>
      </c>
      <c r="Y8" t="n">
        <v>4</v>
      </c>
      <c r="Z8" t="n">
        <v>20</v>
      </c>
      <c r="AA8" t="n">
        <v>30</v>
      </c>
      <c r="AB8" t="n">
        <v>10</v>
      </c>
    </row>
    <row r="9">
      <c r="A9" s="38" t="inlineStr">
        <is>
          <t>Gastos de operación</t>
        </is>
      </c>
      <c r="B9" s="138" t="n"/>
      <c r="C9" s="138" t="n"/>
      <c r="D9" s="138" t="n"/>
      <c r="E9" s="138" t="n"/>
      <c r="F9" s="138" t="n"/>
      <c r="G9" s="138" t="n"/>
      <c r="H9" s="138" t="n"/>
      <c r="I9" s="138" t="n"/>
      <c r="J9" s="138" t="n"/>
      <c r="K9" s="138" t="n"/>
      <c r="L9" s="138" t="n"/>
      <c r="M9" s="138" t="n"/>
      <c r="N9" s="138" t="n"/>
      <c r="O9" s="138" t="n"/>
      <c r="P9" s="138" t="n"/>
      <c r="Q9" s="139" t="n"/>
      <c r="R9" s="139" t="n"/>
      <c r="S9" s="1" t="n"/>
      <c r="Y9" t="n">
        <v>5</v>
      </c>
      <c r="Z9" t="n">
        <v>30</v>
      </c>
      <c r="AA9" t="n">
        <v>45</v>
      </c>
      <c r="AB9" t="n">
        <v>15</v>
      </c>
    </row>
    <row r="10">
      <c r="A10" s="59" t="inlineStr">
        <is>
          <t>Sueldos de fundadores (con recorte años 1-2)</t>
        </is>
      </c>
      <c r="B10" s="130">
        <f>($Z$16/12)*$Z$21</f>
        <v/>
      </c>
      <c r="C10" s="130">
        <f>($Z$16/12)*$Z$21</f>
        <v/>
      </c>
      <c r="D10" s="130">
        <f>($Z$16/12)*$Z$21</f>
        <v/>
      </c>
      <c r="E10" s="130">
        <f>($Z$16/12)*$Z$21</f>
        <v/>
      </c>
      <c r="F10" s="130">
        <f>($Z$16/12)*$Z$21</f>
        <v/>
      </c>
      <c r="G10" s="130">
        <f>($Z$16/12)*$Z$21</f>
        <v/>
      </c>
      <c r="H10" s="130">
        <f>($Z$16/12)*$Z$21</f>
        <v/>
      </c>
      <c r="I10" s="130">
        <f>($Z$16/12)*$Z$21</f>
        <v/>
      </c>
      <c r="J10" s="130">
        <f>($Z$16/12)*$Z$21</f>
        <v/>
      </c>
      <c r="K10" s="130">
        <f>($Z$16/12)*$Z$21</f>
        <v/>
      </c>
      <c r="L10" s="130">
        <f>($Z$16/12)*$Z$21</f>
        <v/>
      </c>
      <c r="M10" s="130">
        <f>($Z$16/12)*$Z$21</f>
        <v/>
      </c>
      <c r="N10" s="121">
        <f>SUM(B10:M10)</f>
        <v/>
      </c>
      <c r="O10" s="121">
        <f>$Z$16*(1+$Z$14)^1*$Z$22</f>
        <v/>
      </c>
      <c r="P10" s="121">
        <f>$Z$16*(1+$Z$14)^2*$Z$23</f>
        <v/>
      </c>
      <c r="Q10" s="121">
        <f>$Z$16*(1+$Z$14)^3*$Z$24</f>
        <v/>
      </c>
      <c r="R10" s="121">
        <f>$Z$16*(1+$Z$14)^4*$Z$25</f>
        <v/>
      </c>
      <c r="S10" s="134">
        <f>$Z$16*(1+$Z$14)^5*$Z$26</f>
        <v/>
      </c>
      <c r="T10" s="135">
        <f>$Z$16*(1+$Z$14)^6*$Z$27</f>
        <v/>
      </c>
      <c r="U10" s="135">
        <f>$Z$16*(1+$Z$14)^7*$Z$28</f>
        <v/>
      </c>
      <c r="V10" s="125">
        <f>SUM(N10:U10)</f>
        <v/>
      </c>
      <c r="Y10" t="n">
        <v>6</v>
      </c>
      <c r="Z10" t="n">
        <v>45</v>
      </c>
      <c r="AA10" t="n">
        <v>68</v>
      </c>
      <c r="AB10" t="n">
        <v>23</v>
      </c>
    </row>
    <row r="11">
      <c r="A11" s="59" t="inlineStr">
        <is>
          <t>Otros gastos fijos (venta + administración, sin recorte)</t>
        </is>
      </c>
      <c r="B11" s="130">
        <f>$Z$17/12</f>
        <v/>
      </c>
      <c r="C11" s="130">
        <f>$Z$17/12</f>
        <v/>
      </c>
      <c r="D11" s="130">
        <f>$Z$17/12</f>
        <v/>
      </c>
      <c r="E11" s="130">
        <f>$Z$17/12</f>
        <v/>
      </c>
      <c r="F11" s="130">
        <f>$Z$17/12</f>
        <v/>
      </c>
      <c r="G11" s="130">
        <f>$Z$17/12</f>
        <v/>
      </c>
      <c r="H11" s="130">
        <f>$Z$17/12</f>
        <v/>
      </c>
      <c r="I11" s="130">
        <f>$Z$17/12</f>
        <v/>
      </c>
      <c r="J11" s="130">
        <f>$Z$17/12</f>
        <v/>
      </c>
      <c r="K11" s="130">
        <f>$Z$17/12</f>
        <v/>
      </c>
      <c r="L11" s="130">
        <f>$Z$17/12</f>
        <v/>
      </c>
      <c r="M11" s="130">
        <f>$Z$17/12</f>
        <v/>
      </c>
      <c r="N11" s="121">
        <f>SUM(B11:M11)</f>
        <v/>
      </c>
      <c r="O11" s="121">
        <f>$Z$17*(1+$Z$14)^1</f>
        <v/>
      </c>
      <c r="P11" s="121">
        <f>$Z$17*(1+$Z$14)^2</f>
        <v/>
      </c>
      <c r="Q11" s="121">
        <f>$Z$17*(1+$Z$14)^3</f>
        <v/>
      </c>
      <c r="R11" s="121">
        <f>$Z$17*(1+$Z$14)^4</f>
        <v/>
      </c>
      <c r="S11" s="134">
        <f>$Z$17*(1+$Z$14)^5</f>
        <v/>
      </c>
      <c r="T11" s="135">
        <f>$Z$17*(1+$Z$14)^6</f>
        <v/>
      </c>
      <c r="U11" s="135">
        <f>$Z$17*(1+$Z$14)^7</f>
        <v/>
      </c>
      <c r="V11" s="125">
        <f>SUM(N11:U11)</f>
        <v/>
      </c>
      <c r="Y11" t="n">
        <v>7</v>
      </c>
      <c r="Z11" t="n">
        <v>68</v>
      </c>
      <c r="AA11" t="n">
        <v>102</v>
      </c>
      <c r="AB11" t="n">
        <v>34</v>
      </c>
    </row>
    <row r="12" ht="17.25" customHeight="1" s="94">
      <c r="A12" s="18" t="inlineStr">
        <is>
          <t>Total gastos de operación</t>
        </is>
      </c>
      <c r="B12" s="136">
        <f>SUM(B10:B11)</f>
        <v/>
      </c>
      <c r="C12" s="136">
        <f>SUM(C10:C11)</f>
        <v/>
      </c>
      <c r="D12" s="136">
        <f>SUM(D10:D11)</f>
        <v/>
      </c>
      <c r="E12" s="136">
        <f>SUM(E10:E11)</f>
        <v/>
      </c>
      <c r="F12" s="136">
        <f>SUM(F10:F11)</f>
        <v/>
      </c>
      <c r="G12" s="136">
        <f>SUM(G10:G11)</f>
        <v/>
      </c>
      <c r="H12" s="136">
        <f>SUM(H10:H11)</f>
        <v/>
      </c>
      <c r="I12" s="136">
        <f>SUM(I10:I11)</f>
        <v/>
      </c>
      <c r="J12" s="136">
        <f>SUM(J10:J11)</f>
        <v/>
      </c>
      <c r="K12" s="136">
        <f>SUM(K10:K11)</f>
        <v/>
      </c>
      <c r="L12" s="136">
        <f>SUM(L10:L11)</f>
        <v/>
      </c>
      <c r="M12" s="136">
        <f>SUM(M10:M11)</f>
        <v/>
      </c>
      <c r="N12" s="121">
        <f>SUM(B12:M12)</f>
        <v/>
      </c>
      <c r="O12" s="137">
        <f>SUM(O10:O11)</f>
        <v/>
      </c>
      <c r="P12" s="137">
        <f>SUM(P10:P11)</f>
        <v/>
      </c>
      <c r="Q12" s="137">
        <f>SUM(Q10:Q11)</f>
        <v/>
      </c>
      <c r="R12" s="137">
        <f>SUM(R10:R11)</f>
        <v/>
      </c>
      <c r="S12" s="122">
        <f>SUM(N12:R12)</f>
        <v/>
      </c>
      <c r="Y12" t="n">
        <v>8</v>
      </c>
      <c r="Z12" t="n">
        <v>102</v>
      </c>
      <c r="AA12" t="n">
        <v>153</v>
      </c>
      <c r="AB12" t="n">
        <v>51</v>
      </c>
    </row>
    <row r="13">
      <c r="A13" s="18" t="inlineStr">
        <is>
          <t>Utilidad de Operacion</t>
        </is>
      </c>
      <c r="B13" s="122">
        <f>B8-B12</f>
        <v/>
      </c>
      <c r="C13" s="122">
        <f>C8-C12</f>
        <v/>
      </c>
      <c r="D13" s="122">
        <f>D8-D12</f>
        <v/>
      </c>
      <c r="E13" s="122">
        <f>E8-E12</f>
        <v/>
      </c>
      <c r="F13" s="122">
        <f>F8-F12</f>
        <v/>
      </c>
      <c r="G13" s="122">
        <f>G8-G12</f>
        <v/>
      </c>
      <c r="H13" s="122">
        <f>H8-H12</f>
        <v/>
      </c>
      <c r="I13" s="122">
        <f>I8-I12</f>
        <v/>
      </c>
      <c r="J13" s="122">
        <f>J8-J12</f>
        <v/>
      </c>
      <c r="K13" s="122">
        <f>K8-K12</f>
        <v/>
      </c>
      <c r="L13" s="122">
        <f>L8-L12</f>
        <v/>
      </c>
      <c r="M13" s="122">
        <f>M8-M12</f>
        <v/>
      </c>
      <c r="N13" s="121">
        <f>SUM(B13:M13)</f>
        <v/>
      </c>
      <c r="O13" s="122">
        <f>O8-O12</f>
        <v/>
      </c>
      <c r="P13" s="122">
        <f>P8-P12</f>
        <v/>
      </c>
      <c r="Q13" s="122">
        <f>Q8-Q12</f>
        <v/>
      </c>
      <c r="R13" s="122">
        <f>R8-R12</f>
        <v/>
      </c>
      <c r="S13" s="122">
        <f>S8-S12</f>
        <v/>
      </c>
    </row>
    <row r="14">
      <c r="A14" s="1" t="inlineStr">
        <is>
          <t>Financieros</t>
        </is>
      </c>
      <c r="B14" s="139" t="n"/>
      <c r="C14" s="139" t="n"/>
      <c r="D14" s="139" t="n"/>
      <c r="E14" s="139" t="n"/>
      <c r="F14" s="139" t="n"/>
      <c r="G14" s="139" t="n"/>
      <c r="H14" s="139" t="n"/>
      <c r="I14" s="139" t="n"/>
      <c r="J14" s="139" t="n"/>
      <c r="K14" s="139" t="n"/>
      <c r="L14" s="139" t="n"/>
      <c r="M14" s="139" t="n"/>
      <c r="N14" s="138" t="n"/>
      <c r="O14" s="139" t="n"/>
      <c r="P14" s="139" t="n"/>
      <c r="Q14" s="139" t="n"/>
      <c r="R14" s="139" t="n"/>
      <c r="S14" s="1" t="n"/>
      <c r="Y14" t="inlineStr">
        <is>
          <t>Inflación anual (gastos fijos)</t>
        </is>
      </c>
      <c r="Z14" s="39" t="n">
        <v>0.045</v>
      </c>
    </row>
    <row r="15">
      <c r="A15" s="18" t="inlineStr">
        <is>
          <t>Utilidad antes de impuestos</t>
        </is>
      </c>
      <c r="B15" s="122">
        <f>B13-B14</f>
        <v/>
      </c>
      <c r="C15" s="122">
        <f>C13-C14</f>
        <v/>
      </c>
      <c r="D15" s="122">
        <f>D13-D14</f>
        <v/>
      </c>
      <c r="E15" s="122">
        <f>E13-E14</f>
        <v/>
      </c>
      <c r="F15" s="122">
        <f>F13-F14</f>
        <v/>
      </c>
      <c r="G15" s="122">
        <f>G13-G14</f>
        <v/>
      </c>
      <c r="H15" s="122">
        <f>H13-H14</f>
        <v/>
      </c>
      <c r="I15" s="122">
        <f>I13-I14</f>
        <v/>
      </c>
      <c r="J15" s="122">
        <f>J13-J14</f>
        <v/>
      </c>
      <c r="K15" s="122">
        <f>K13-K14</f>
        <v/>
      </c>
      <c r="L15" s="122">
        <f>L13-L14</f>
        <v/>
      </c>
      <c r="M15" s="122">
        <f>M13-M14</f>
        <v/>
      </c>
      <c r="N15" s="121">
        <f>SUM(B15:M15)</f>
        <v/>
      </c>
      <c r="O15" s="121">
        <f>O13-O14</f>
        <v/>
      </c>
      <c r="P15" s="121">
        <f>P13-P14</f>
        <v/>
      </c>
      <c r="Q15" s="121">
        <f>Q13-Q14</f>
        <v/>
      </c>
      <c r="R15" s="121">
        <f>R13-R14</f>
        <v/>
      </c>
      <c r="S15" s="122">
        <f>S13-S14</f>
        <v/>
      </c>
      <c r="Y15" t="inlineStr">
        <is>
          <t>ISR (México)</t>
        </is>
      </c>
      <c r="Z15" s="39" t="n">
        <v>0.3</v>
      </c>
    </row>
    <row r="16" ht="17.25" customHeight="1" s="94">
      <c r="A16" s="1" t="inlineStr">
        <is>
          <t>Impuestos</t>
        </is>
      </c>
      <c r="B16" s="140" t="n"/>
      <c r="C16" s="140" t="n"/>
      <c r="D16" s="140" t="n"/>
      <c r="E16" s="140" t="n"/>
      <c r="F16" s="140" t="n"/>
      <c r="G16" s="140" t="n"/>
      <c r="H16" s="140" t="n"/>
      <c r="I16" s="140" t="n"/>
      <c r="J16" s="140" t="n"/>
      <c r="K16" s="140" t="n"/>
      <c r="L16" s="140" t="n"/>
      <c r="M16" s="140" t="n"/>
      <c r="N16" s="121">
        <f>SUM(B16:M16)</f>
        <v/>
      </c>
      <c r="O16" s="137">
        <f>O13*35%</f>
        <v/>
      </c>
      <c r="P16" s="137">
        <f>P13*35%</f>
        <v/>
      </c>
      <c r="Q16" s="137">
        <f>Q13*35%</f>
        <v/>
      </c>
      <c r="R16" s="137">
        <f>R13*35%</f>
        <v/>
      </c>
      <c r="S16" s="122">
        <f>SUM(N16:R16)</f>
        <v/>
      </c>
      <c r="Y16" t="inlineStr">
        <is>
          <t>Sueldos de fundadores (100%, anual)</t>
        </is>
      </c>
      <c r="Z16" s="10" t="n">
        <v>600000</v>
      </c>
    </row>
    <row r="17">
      <c r="A17" s="38" t="inlineStr">
        <is>
          <t>Total gastos de operación</t>
        </is>
      </c>
      <c r="B17" s="141">
        <f>SUM(B10:B11)</f>
        <v/>
      </c>
      <c r="C17" s="141">
        <f>SUM(C10:C11)</f>
        <v/>
      </c>
      <c r="D17" s="141">
        <f>SUM(D10:D11)</f>
        <v/>
      </c>
      <c r="E17" s="141">
        <f>SUM(E10:E11)</f>
        <v/>
      </c>
      <c r="F17" s="141">
        <f>SUM(F10:F11)</f>
        <v/>
      </c>
      <c r="G17" s="141">
        <f>SUM(G10:G11)</f>
        <v/>
      </c>
      <c r="H17" s="141">
        <f>SUM(H10:H11)</f>
        <v/>
      </c>
      <c r="I17" s="141">
        <f>SUM(I10:I11)</f>
        <v/>
      </c>
      <c r="J17" s="141">
        <f>SUM(J10:J11)</f>
        <v/>
      </c>
      <c r="K17" s="141">
        <f>SUM(K10:K11)</f>
        <v/>
      </c>
      <c r="L17" s="141">
        <f>SUM(L10:L11)</f>
        <v/>
      </c>
      <c r="M17" s="141">
        <f>SUM(M10:M11)</f>
        <v/>
      </c>
      <c r="N17" s="121">
        <f>SUM(N10:N11)</f>
        <v/>
      </c>
      <c r="O17" s="142">
        <f>SUM(O10:O11)</f>
        <v/>
      </c>
      <c r="P17" s="142">
        <f>SUM(P10:P11)</f>
        <v/>
      </c>
      <c r="Q17" s="142">
        <f>SUM(Q10:Q11)</f>
        <v/>
      </c>
      <c r="R17" s="142">
        <f>SUM(R10:R11)</f>
        <v/>
      </c>
      <c r="S17" s="143">
        <f>SUM(S10:S11)</f>
        <v/>
      </c>
      <c r="T17" s="135">
        <f>SUM(T10:T11)</f>
        <v/>
      </c>
      <c r="U17" s="135">
        <f>SUM(U10:U11)</f>
        <v/>
      </c>
      <c r="V17" s="125">
        <f>SUM(V10:V11)</f>
        <v/>
      </c>
      <c r="Y17" t="inlineStr">
        <is>
          <t>Otros costos fijos año 1 (100%, anual)</t>
        </is>
      </c>
      <c r="Z17" s="10" t="n">
        <v>180000</v>
      </c>
    </row>
    <row r="18">
      <c r="A18" s="47" t="inlineStr">
        <is>
          <t>Utilidad de Operación</t>
        </is>
      </c>
      <c r="B18" s="125">
        <f>B8-B17</f>
        <v/>
      </c>
      <c r="C18" s="125">
        <f>C8-C17</f>
        <v/>
      </c>
      <c r="D18" s="125">
        <f>D8-D17</f>
        <v/>
      </c>
      <c r="E18" s="125">
        <f>E8-E17</f>
        <v/>
      </c>
      <c r="F18" s="125">
        <f>F8-F17</f>
        <v/>
      </c>
      <c r="G18" s="125">
        <f>G8-G17</f>
        <v/>
      </c>
      <c r="H18" s="125">
        <f>H8-H17</f>
        <v/>
      </c>
      <c r="I18" s="125">
        <f>I8-I17</f>
        <v/>
      </c>
      <c r="J18" s="125">
        <f>J8-J17</f>
        <v/>
      </c>
      <c r="K18" s="125">
        <f>K8-K17</f>
        <v/>
      </c>
      <c r="L18" s="125">
        <f>L8-L17</f>
        <v/>
      </c>
      <c r="M18" s="125">
        <f>M8-M17</f>
        <v/>
      </c>
      <c r="N18" s="125">
        <f>N8-N17</f>
        <v/>
      </c>
      <c r="O18" s="125">
        <f>O8-O17</f>
        <v/>
      </c>
      <c r="P18" s="125">
        <f>P8-P17</f>
        <v/>
      </c>
      <c r="Q18" s="125">
        <f>Q8-Q17</f>
        <v/>
      </c>
      <c r="R18" s="125">
        <f>R8-R17</f>
        <v/>
      </c>
      <c r="S18" s="135">
        <f>S8-S17</f>
        <v/>
      </c>
      <c r="T18" s="135">
        <f>T8-T17</f>
        <v/>
      </c>
      <c r="U18" s="135">
        <f>U8-U17</f>
        <v/>
      </c>
      <c r="V18" s="125">
        <f>V8-V17</f>
        <v/>
      </c>
    </row>
    <row r="19" ht="18.75" customHeight="1" s="94">
      <c r="A19" s="69" t="inlineStr">
        <is>
          <t>Financieros (intereses del crédito — $0 desde año 6, crédito liquidado)</t>
        </is>
      </c>
      <c r="B19" s="144">
        <f>Amortización!F15</f>
        <v/>
      </c>
      <c r="C19" s="125">
        <f>Amortización!F16</f>
        <v/>
      </c>
      <c r="D19" s="125">
        <f>Amortización!F17</f>
        <v/>
      </c>
      <c r="E19" s="125">
        <f>Amortización!F18</f>
        <v/>
      </c>
      <c r="F19" s="125">
        <f>Amortización!F19</f>
        <v/>
      </c>
      <c r="G19" s="125">
        <f>Amortización!F20</f>
        <v/>
      </c>
      <c r="H19" s="125">
        <f>Amortización!F21</f>
        <v/>
      </c>
      <c r="I19" s="125">
        <f>Amortización!F22</f>
        <v/>
      </c>
      <c r="J19" s="125">
        <f>Amortización!F23</f>
        <v/>
      </c>
      <c r="K19" s="125">
        <f>Amortización!F24</f>
        <v/>
      </c>
      <c r="L19" s="125">
        <f>Amortización!F25</f>
        <v/>
      </c>
      <c r="M19" s="125">
        <f>Amortización!F26</f>
        <v/>
      </c>
      <c r="N19" s="125">
        <f>SUM(B19:M19)</f>
        <v/>
      </c>
      <c r="O19" s="125">
        <f>Amortización!J17</f>
        <v/>
      </c>
      <c r="P19" s="125">
        <f>Amortización!J18</f>
        <v/>
      </c>
      <c r="Q19" s="125">
        <f>Amortización!J19</f>
        <v/>
      </c>
      <c r="R19" s="125">
        <f>Amortización!J20</f>
        <v/>
      </c>
      <c r="S19" s="135">
        <f>Amortización!J21</f>
        <v/>
      </c>
      <c r="T19" s="135">
        <f>Amortización!J22</f>
        <v/>
      </c>
      <c r="U19" s="135">
        <f>Amortización!J23</f>
        <v/>
      </c>
      <c r="V19" s="125">
        <f>SUM(N19:U19)</f>
        <v/>
      </c>
      <c r="Y19" s="47" t="inlineStr">
        <is>
          <t>Factor de reducción de sueldos por año (1=100%, 0.5=recorte 50%)</t>
        </is>
      </c>
    </row>
    <row r="20">
      <c r="A20" s="47" t="inlineStr">
        <is>
          <t>Utilidad antes de impuestos</t>
        </is>
      </c>
      <c r="B20" s="125">
        <f>B18-B19</f>
        <v/>
      </c>
      <c r="C20" s="125">
        <f>C18-C19</f>
        <v/>
      </c>
      <c r="D20" s="125">
        <f>D18-D19</f>
        <v/>
      </c>
      <c r="E20" s="125">
        <f>E18-E19</f>
        <v/>
      </c>
      <c r="F20" s="125">
        <f>F18-F19</f>
        <v/>
      </c>
      <c r="G20" s="125">
        <f>G18-G19</f>
        <v/>
      </c>
      <c r="H20" s="125">
        <f>H18-H19</f>
        <v/>
      </c>
      <c r="I20" s="125">
        <f>I18-I19</f>
        <v/>
      </c>
      <c r="J20" s="125">
        <f>J18-J19</f>
        <v/>
      </c>
      <c r="K20" s="125">
        <f>K18-K19</f>
        <v/>
      </c>
      <c r="L20" s="125">
        <f>L18-L19</f>
        <v/>
      </c>
      <c r="M20" s="125">
        <f>M18-M19</f>
        <v/>
      </c>
      <c r="N20" s="125">
        <f>N18-N19</f>
        <v/>
      </c>
      <c r="O20" s="125">
        <f>O18-O19</f>
        <v/>
      </c>
      <c r="P20" s="125">
        <f>P18-P19</f>
        <v/>
      </c>
      <c r="Q20" s="125">
        <f>Q18-Q19</f>
        <v/>
      </c>
      <c r="R20" s="125">
        <f>R18-R19</f>
        <v/>
      </c>
      <c r="S20" s="135">
        <f>S18-S19</f>
        <v/>
      </c>
      <c r="T20" s="135">
        <f>T18-T19</f>
        <v/>
      </c>
      <c r="U20" s="135">
        <f>U18-U19</f>
        <v/>
      </c>
      <c r="V20" s="125">
        <f>SUM(N20:U20)</f>
        <v/>
      </c>
      <c r="Y20" t="inlineStr">
        <is>
          <t>Año</t>
        </is>
      </c>
      <c r="Z20" t="inlineStr">
        <is>
          <t>Factor</t>
        </is>
      </c>
    </row>
    <row r="21">
      <c r="A21" s="71" t="inlineStr">
        <is>
          <t>Impuestos (ISR 30%)</t>
        </is>
      </c>
      <c r="B21" s="125">
        <f>MAX(B20,0)*$Z$15</f>
        <v/>
      </c>
      <c r="C21" s="125">
        <f>MAX(C20,0)*$Z$15</f>
        <v/>
      </c>
      <c r="D21" s="125">
        <f>MAX(D20,0)*$Z$15</f>
        <v/>
      </c>
      <c r="E21" s="125">
        <f>MAX(E20,0)*$Z$15</f>
        <v/>
      </c>
      <c r="F21" s="125">
        <f>MAX(F20,0)*$Z$15</f>
        <v/>
      </c>
      <c r="G21" s="125">
        <f>MAX(G20,0)*$Z$15</f>
        <v/>
      </c>
      <c r="H21" s="125">
        <f>MAX(H20,0)*$Z$15</f>
        <v/>
      </c>
      <c r="I21" s="125">
        <f>MAX(I20,0)*$Z$15</f>
        <v/>
      </c>
      <c r="J21" s="125">
        <f>MAX(J20,0)*$Z$15</f>
        <v/>
      </c>
      <c r="K21" s="125">
        <f>MAX(K20,0)*$Z$15</f>
        <v/>
      </c>
      <c r="L21" s="125">
        <f>MAX(L20,0)*$Z$15</f>
        <v/>
      </c>
      <c r="M21" s="125">
        <f>MAX(M20,0)*$Z$15</f>
        <v/>
      </c>
      <c r="N21" s="125">
        <f>SUM(B21:M21)</f>
        <v/>
      </c>
      <c r="O21" s="125">
        <f>MAX(O20,0)*$Z$15</f>
        <v/>
      </c>
      <c r="P21" s="125">
        <f>MAX(P20,0)*$Z$15</f>
        <v/>
      </c>
      <c r="Q21" s="125">
        <f>MAX(Q20,0)*$Z$15</f>
        <v/>
      </c>
      <c r="R21" s="125">
        <f>MAX(R20,0)*$Z$15</f>
        <v/>
      </c>
      <c r="S21" s="135">
        <f>MAX(S20,0)*$Z$15</f>
        <v/>
      </c>
      <c r="T21" s="135">
        <f>MAX(T20,0)*$Z$15</f>
        <v/>
      </c>
      <c r="U21" s="135">
        <f>MAX(U20,0)*$Z$15</f>
        <v/>
      </c>
      <c r="V21" s="125">
        <f>SUM(N21:U21)</f>
        <v/>
      </c>
      <c r="Y21" t="n">
        <v>1</v>
      </c>
      <c r="Z21" s="39" t="n">
        <v>0.5</v>
      </c>
    </row>
    <row r="22">
      <c r="A22" s="47" t="inlineStr">
        <is>
          <t>Utilidad del Ejercicio</t>
        </is>
      </c>
      <c r="B22" s="125">
        <f>B20-B21</f>
        <v/>
      </c>
      <c r="C22" s="125">
        <f>C20-C21</f>
        <v/>
      </c>
      <c r="D22" s="125">
        <f>D20-D21</f>
        <v/>
      </c>
      <c r="E22" s="125">
        <f>E20-E21</f>
        <v/>
      </c>
      <c r="F22" s="125">
        <f>F20-F21</f>
        <v/>
      </c>
      <c r="G22" s="125">
        <f>G20-G21</f>
        <v/>
      </c>
      <c r="H22" s="125">
        <f>H20-H21</f>
        <v/>
      </c>
      <c r="I22" s="125">
        <f>I20-I21</f>
        <v/>
      </c>
      <c r="J22" s="125">
        <f>J20-J21</f>
        <v/>
      </c>
      <c r="K22" s="125">
        <f>K20-K21</f>
        <v/>
      </c>
      <c r="L22" s="125">
        <f>L20-L21</f>
        <v/>
      </c>
      <c r="M22" s="125">
        <f>M20-M21</f>
        <v/>
      </c>
      <c r="N22" s="125">
        <f>N20-N21</f>
        <v/>
      </c>
      <c r="O22" s="125">
        <f>O20-O21</f>
        <v/>
      </c>
      <c r="P22" s="125">
        <f>P20-P21</f>
        <v/>
      </c>
      <c r="Q22" s="125">
        <f>Q20-Q21</f>
        <v/>
      </c>
      <c r="R22" s="125">
        <f>R20-R21</f>
        <v/>
      </c>
      <c r="S22" s="135">
        <f>S20-S21</f>
        <v/>
      </c>
      <c r="T22" s="135">
        <f>T20-T21</f>
        <v/>
      </c>
      <c r="U22" s="135">
        <f>U20-U21</f>
        <v/>
      </c>
      <c r="V22" s="125">
        <f>V20-V21</f>
        <v/>
      </c>
      <c r="Y22" t="n">
        <v>2</v>
      </c>
      <c r="Z22" s="39" t="n">
        <v>0.5</v>
      </c>
    </row>
    <row r="23">
      <c r="Y23" t="n">
        <v>3</v>
      </c>
      <c r="Z23" s="39" t="n">
        <v>1</v>
      </c>
    </row>
    <row r="24">
      <c r="A24" s="47" t="inlineStr">
        <is>
          <t>Rendimiento sobre la inversión (ROI = Utilidad neta acumulada / Inversión inicial, 8 años)</t>
        </is>
      </c>
      <c r="B24" s="39">
        <f>V22/B26</f>
        <v/>
      </c>
      <c r="Y24" t="n">
        <v>4</v>
      </c>
      <c r="Z24" s="39" t="n">
        <v>1</v>
      </c>
    </row>
    <row r="25">
      <c r="Y25" t="n">
        <v>5</v>
      </c>
      <c r="Z25" s="39" t="n">
        <v>1</v>
      </c>
    </row>
    <row r="26">
      <c r="A26" s="47" t="inlineStr">
        <is>
          <t>Inversión inicial</t>
        </is>
      </c>
      <c r="B26" s="125">
        <f>'Inversión inicial'!C26</f>
        <v/>
      </c>
      <c r="Y26" t="n">
        <v>6</v>
      </c>
      <c r="Z26" s="39" t="n">
        <v>1</v>
      </c>
    </row>
    <row r="27">
      <c r="Y27" t="n">
        <v>7</v>
      </c>
      <c r="Z27" s="39" t="n">
        <v>1</v>
      </c>
    </row>
    <row r="28">
      <c r="Y28" t="n">
        <v>8</v>
      </c>
      <c r="Z28" s="39" t="n">
        <v>1</v>
      </c>
    </row>
    <row r="30">
      <c r="Y30" t="inlineStr">
        <is>
          <t>Nota: años 6-8 (columnas S-T-U) son una extrapolación de la Tabla 26 al mismo ritmo de crecimiento del último tramo documentado (+50% anual) — no están en el reporte, se muestran para responder "¿en cuántos años es viable AeroGuardia?".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0"/>
  <sheetViews>
    <sheetView topLeftCell="A5" workbookViewId="0">
      <selection activeCell="C30" sqref="C30"/>
    </sheetView>
  </sheetViews>
  <sheetFormatPr baseColWidth="10" defaultRowHeight="15"/>
  <cols>
    <col width="40.140625" customWidth="1" style="94" min="1" max="1"/>
    <col width="18" customWidth="1" style="94" min="2" max="2"/>
    <col width="18.7109375" customWidth="1" style="94" min="3" max="12"/>
  </cols>
  <sheetData>
    <row r="1" ht="15.75" customFormat="1" customHeight="1" s="32">
      <c r="A1" s="31" t="inlineStr">
        <is>
          <t>FLUJO DE EFECTIVO — AeroGuardia</t>
        </is>
      </c>
      <c r="B1" s="31" t="n"/>
      <c r="C1" s="31" t="n"/>
    </row>
    <row r="2" ht="36.75" customHeight="1" s="94">
      <c r="A2" s="5" t="n"/>
      <c r="B2" s="5" t="n"/>
    </row>
    <row r="3">
      <c r="A3" s="6" t="inlineStr">
        <is>
          <t>Ventas</t>
        </is>
      </c>
      <c r="B3" s="72" t="n"/>
      <c r="C3" s="142">
        <f>'Estado de Resultados'!N6</f>
        <v/>
      </c>
      <c r="D3" s="142">
        <f>'Estado de Resultados'!O6</f>
        <v/>
      </c>
      <c r="E3" s="142">
        <f>'Estado de Resultados'!P6</f>
        <v/>
      </c>
      <c r="F3" s="142">
        <f>'Estado de Resultados'!Q6</f>
        <v/>
      </c>
      <c r="G3" s="142">
        <f>'Estado de Resultados'!R6</f>
        <v/>
      </c>
      <c r="H3" s="135">
        <f>'Estado de Resultados'!S6</f>
        <v/>
      </c>
      <c r="I3" s="135">
        <f>'Estado de Resultados'!T6</f>
        <v/>
      </c>
      <c r="J3" s="135">
        <f>'Estado de Resultados'!U6</f>
        <v/>
      </c>
    </row>
    <row r="4"/>
    <row r="5">
      <c r="A5" s="73" t="inlineStr">
        <is>
          <t>CONCEPTO</t>
        </is>
      </c>
      <c r="B5" s="6" t="inlineStr">
        <is>
          <t>Año 0</t>
        </is>
      </c>
      <c r="C5" s="6" t="inlineStr">
        <is>
          <t>Total año 1</t>
        </is>
      </c>
      <c r="D5" s="21" t="inlineStr">
        <is>
          <t>Total año 2</t>
        </is>
      </c>
      <c r="E5" s="21" t="inlineStr">
        <is>
          <t>Total año 3</t>
        </is>
      </c>
      <c r="F5" s="21" t="inlineStr">
        <is>
          <t>Total año 4</t>
        </is>
      </c>
      <c r="G5" s="21" t="inlineStr">
        <is>
          <t>Total año 5</t>
        </is>
      </c>
      <c r="H5" s="56" t="inlineStr">
        <is>
          <t>Total año 6</t>
        </is>
      </c>
      <c r="I5" s="56" t="inlineStr">
        <is>
          <t>Total año 7</t>
        </is>
      </c>
      <c r="J5" s="56" t="inlineStr">
        <is>
          <t>Total año 8</t>
        </is>
      </c>
    </row>
    <row r="6">
      <c r="A6" s="18" t="inlineStr">
        <is>
          <t>Saldo inicial de la cuenta en efectivo (informativo, acumulado)</t>
        </is>
      </c>
      <c r="B6" s="141" t="n">
        <v>0</v>
      </c>
      <c r="C6" s="122">
        <f>B29</f>
        <v/>
      </c>
      <c r="D6" s="122">
        <f>C29</f>
        <v/>
      </c>
      <c r="E6" s="122">
        <f>D29</f>
        <v/>
      </c>
      <c r="F6" s="122">
        <f>E29</f>
        <v/>
      </c>
      <c r="G6" s="122">
        <f>F29</f>
        <v/>
      </c>
      <c r="H6" s="135">
        <f>G29</f>
        <v/>
      </c>
      <c r="I6" s="135">
        <f>H29</f>
        <v/>
      </c>
      <c r="J6" s="135">
        <f>I29</f>
        <v/>
      </c>
    </row>
    <row r="7">
      <c r="A7" s="38" t="inlineStr">
        <is>
          <t>Entradas de operación:</t>
        </is>
      </c>
      <c r="B7" s="18" t="n"/>
      <c r="C7" s="1" t="n"/>
      <c r="D7" s="1" t="n"/>
      <c r="E7" s="1" t="n"/>
      <c r="F7" s="1" t="n"/>
      <c r="G7" s="1" t="n"/>
    </row>
    <row r="8">
      <c r="A8" s="1" t="inlineStr">
        <is>
          <t>Ventas cobradas al contado</t>
        </is>
      </c>
      <c r="B8" s="7" t="n"/>
      <c r="C8" s="122">
        <f>C3</f>
        <v/>
      </c>
      <c r="D8" s="122">
        <f>D3</f>
        <v/>
      </c>
      <c r="E8" s="122">
        <f>E3</f>
        <v/>
      </c>
      <c r="F8" s="122">
        <f>F3</f>
        <v/>
      </c>
      <c r="G8" s="122">
        <f>G3</f>
        <v/>
      </c>
      <c r="H8" s="135">
        <f>H3</f>
        <v/>
      </c>
      <c r="I8" s="135">
        <f>I3</f>
        <v/>
      </c>
      <c r="J8" s="135">
        <f>J3</f>
        <v/>
      </c>
    </row>
    <row r="9">
      <c r="A9" s="1" t="inlineStr">
        <is>
          <t>Cuentas x cobrar</t>
        </is>
      </c>
      <c r="B9" s="1" t="n"/>
      <c r="C9" s="4" t="n"/>
      <c r="D9" s="4" t="n"/>
      <c r="E9" s="4" t="n"/>
      <c r="F9" s="4" t="n"/>
      <c r="G9" s="4" t="n"/>
    </row>
    <row r="10">
      <c r="A10" s="1" t="inlineStr">
        <is>
          <t>Otras entradas</t>
        </is>
      </c>
      <c r="B10" s="1" t="n"/>
      <c r="C10" s="4" t="n"/>
      <c r="D10" s="4" t="n"/>
      <c r="E10" s="4" t="n"/>
      <c r="F10" s="4" t="n"/>
      <c r="G10" s="4" t="n"/>
    </row>
    <row r="11">
      <c r="A11" s="38" t="inlineStr">
        <is>
          <t>Total de entradas de operación</t>
        </is>
      </c>
      <c r="B11" s="145">
        <f>SUM(B7:B10)</f>
        <v/>
      </c>
      <c r="C11" s="145">
        <f>SUM(C7:C10)</f>
        <v/>
      </c>
      <c r="D11" s="145">
        <f>SUM(D7:D10)</f>
        <v/>
      </c>
      <c r="E11" s="145">
        <f>SUM(E7:E10)</f>
        <v/>
      </c>
      <c r="F11" s="145">
        <f>SUM(F7:F10)</f>
        <v/>
      </c>
      <c r="G11" s="145">
        <f>SUM(G7:G10)</f>
        <v/>
      </c>
      <c r="H11" s="135">
        <f>SUM(H7:H10)</f>
        <v/>
      </c>
      <c r="I11" s="135">
        <f>SUM(I7:I10)</f>
        <v/>
      </c>
      <c r="J11" s="135">
        <f>SUM(J7:J10)</f>
        <v/>
      </c>
    </row>
    <row r="12">
      <c r="A12" s="38" t="inlineStr">
        <is>
          <t>Salidas de operación:</t>
        </is>
      </c>
      <c r="B12" s="18" t="n"/>
      <c r="C12" s="1" t="n"/>
      <c r="D12" s="1" t="n"/>
      <c r="E12" s="1" t="n"/>
      <c r="F12" s="1" t="n"/>
      <c r="G12" s="1" t="n"/>
    </row>
    <row r="13">
      <c r="A13" s="1" t="inlineStr">
        <is>
          <t>Costo de ventas</t>
        </is>
      </c>
      <c r="B13" s="7" t="n"/>
      <c r="C13" s="122">
        <f>'Estado de Resultados'!N7</f>
        <v/>
      </c>
      <c r="D13" s="122">
        <f>'Estado de Resultados'!O7</f>
        <v/>
      </c>
      <c r="E13" s="122">
        <f>'Estado de Resultados'!P7</f>
        <v/>
      </c>
      <c r="F13" s="122">
        <f>'Estado de Resultados'!Q7</f>
        <v/>
      </c>
      <c r="G13" s="122">
        <f>'Estado de Resultados'!R7</f>
        <v/>
      </c>
      <c r="H13" s="135">
        <f>'Estado de Resultados'!S7</f>
        <v/>
      </c>
      <c r="I13" s="135">
        <f>'Estado de Resultados'!T7</f>
        <v/>
      </c>
      <c r="J13" s="135">
        <f>'Estado de Resultados'!U7</f>
        <v/>
      </c>
    </row>
    <row r="14">
      <c r="A14" s="1" t="inlineStr">
        <is>
          <t>Gastos de operación (venta + administración)</t>
        </is>
      </c>
      <c r="B14" s="7" t="n"/>
      <c r="C14" s="122">
        <f>'Estado de Resultados'!N17</f>
        <v/>
      </c>
      <c r="D14" s="122">
        <f>'Estado de Resultados'!O17</f>
        <v/>
      </c>
      <c r="E14" s="122">
        <f>'Estado de Resultados'!P17</f>
        <v/>
      </c>
      <c r="F14" s="122">
        <f>'Estado de Resultados'!Q17</f>
        <v/>
      </c>
      <c r="G14" s="122">
        <f>'Estado de Resultados'!R17</f>
        <v/>
      </c>
      <c r="H14" s="135">
        <f>'Estado de Resultados'!S17</f>
        <v/>
      </c>
      <c r="I14" s="135">
        <f>'Estado de Resultados'!T17</f>
        <v/>
      </c>
      <c r="J14" s="135">
        <f>'Estado de Resultados'!U17</f>
        <v/>
      </c>
    </row>
    <row r="15">
      <c r="A15" s="1" t="inlineStr">
        <is>
          <t>Impuestos (ISR)</t>
        </is>
      </c>
      <c r="B15" s="7" t="n"/>
      <c r="C15" s="122">
        <f>'Estado de Resultados'!N21</f>
        <v/>
      </c>
      <c r="D15" s="122">
        <f>'Estado de Resultados'!O21</f>
        <v/>
      </c>
      <c r="E15" s="122">
        <f>'Estado de Resultados'!P21</f>
        <v/>
      </c>
      <c r="F15" s="122">
        <f>'Estado de Resultados'!Q21</f>
        <v/>
      </c>
      <c r="G15" s="122">
        <f>'Estado de Resultados'!R21</f>
        <v/>
      </c>
      <c r="H15" s="135">
        <f>'Estado de Resultados'!S21</f>
        <v/>
      </c>
      <c r="I15" s="135">
        <f>'Estado de Resultados'!T21</f>
        <v/>
      </c>
      <c r="J15" s="135">
        <f>'Estado de Resultados'!U21</f>
        <v/>
      </c>
    </row>
    <row r="16">
      <c r="A16" s="1" t="inlineStr">
        <is>
          <t>Otras salidas de operación</t>
        </is>
      </c>
      <c r="B16" s="1" t="n"/>
      <c r="C16" s="4" t="n"/>
      <c r="D16" s="4" t="n"/>
      <c r="E16" s="4" t="n"/>
      <c r="F16" s="4" t="n"/>
      <c r="G16" s="4" t="n"/>
    </row>
    <row r="17">
      <c r="A17" s="38" t="inlineStr">
        <is>
          <t xml:space="preserve">Total de salidas </t>
        </is>
      </c>
      <c r="B17" s="145">
        <f>SUM(B13:B16)</f>
        <v/>
      </c>
      <c r="C17" s="145">
        <f>SUM(C13:C16)</f>
        <v/>
      </c>
      <c r="D17" s="146">
        <f>SUM(D13:D16)</f>
        <v/>
      </c>
      <c r="E17" s="146">
        <f>SUM(E13:E16)</f>
        <v/>
      </c>
      <c r="F17" s="146">
        <f>SUM(F13:F16)</f>
        <v/>
      </c>
      <c r="G17" s="146">
        <f>SUM(G13:G16)</f>
        <v/>
      </c>
      <c r="H17" s="135">
        <f>SUM(H13:H16)</f>
        <v/>
      </c>
      <c r="I17" s="135">
        <f>SUM(I13:I16)</f>
        <v/>
      </c>
      <c r="J17" s="135">
        <f>SUM(J13:J16)</f>
        <v/>
      </c>
    </row>
    <row r="18">
      <c r="A18" s="38" t="inlineStr">
        <is>
          <t>Flujo de efectivo de operación</t>
        </is>
      </c>
      <c r="B18" s="145">
        <f>B11-B17</f>
        <v/>
      </c>
      <c r="C18" s="145">
        <f>C11-C17</f>
        <v/>
      </c>
      <c r="D18" s="145">
        <f>D11-D17</f>
        <v/>
      </c>
      <c r="E18" s="145">
        <f>E11-E17</f>
        <v/>
      </c>
      <c r="F18" s="145">
        <f>F11-F17</f>
        <v/>
      </c>
      <c r="G18" s="145">
        <f>G11-G17</f>
        <v/>
      </c>
      <c r="H18" s="135">
        <f>H11-H17</f>
        <v/>
      </c>
      <c r="I18" s="135">
        <f>I11-I17</f>
        <v/>
      </c>
      <c r="J18" s="135">
        <f>J11-J17</f>
        <v/>
      </c>
    </row>
    <row r="19">
      <c r="A19" s="38" t="inlineStr">
        <is>
          <t>Entradas financieras y de inversión:</t>
        </is>
      </c>
      <c r="B19" s="18" t="n"/>
      <c r="C19" s="1" t="n"/>
      <c r="D19" s="1" t="n"/>
      <c r="E19" s="1" t="n"/>
      <c r="F19" s="1" t="n"/>
      <c r="G19" s="1" t="n"/>
    </row>
    <row r="20">
      <c r="A20" s="1" t="inlineStr">
        <is>
          <t>Aportaciones de capital</t>
        </is>
      </c>
      <c r="B20" s="122" t="n">
        <v>0</v>
      </c>
      <c r="C20" s="7" t="n"/>
      <c r="D20" s="7" t="n"/>
      <c r="E20" s="7" t="n"/>
      <c r="F20" s="7" t="n"/>
      <c r="G20" s="7" t="n"/>
      <c r="H20" s="10" t="n"/>
      <c r="I20" s="10" t="n"/>
      <c r="J20" s="10" t="n"/>
    </row>
    <row r="21">
      <c r="A21" s="1" t="inlineStr">
        <is>
          <t>Préstamo bancario</t>
        </is>
      </c>
      <c r="B21" s="122">
        <f>Amortización!B4</f>
        <v/>
      </c>
      <c r="C21" s="7" t="n"/>
      <c r="D21" s="7" t="n"/>
      <c r="E21" s="7" t="n"/>
      <c r="F21" s="7" t="n"/>
      <c r="G21" s="7" t="n"/>
      <c r="H21" s="10" t="n"/>
      <c r="I21" s="10" t="n"/>
      <c r="J21" s="10" t="n"/>
    </row>
    <row r="22">
      <c r="A22" s="1" t="inlineStr">
        <is>
          <t>Otras entradas financieras y de inversión</t>
        </is>
      </c>
      <c r="B22" s="4" t="n"/>
      <c r="C22" s="4" t="n"/>
      <c r="D22" s="4" t="n"/>
      <c r="E22" s="4" t="n"/>
      <c r="F22" s="4" t="n"/>
      <c r="G22" s="4" t="n"/>
    </row>
    <row r="23">
      <c r="A23" s="18" t="inlineStr">
        <is>
          <t>Total de entradas financieras y de inversión:</t>
        </is>
      </c>
      <c r="B23" s="145">
        <f>SUM(B20:B22)</f>
        <v/>
      </c>
      <c r="C23" s="146">
        <f>SUM(C20:C22)</f>
        <v/>
      </c>
      <c r="D23" s="145">
        <f>SUM(D20:D22)</f>
        <v/>
      </c>
      <c r="E23" s="145">
        <f>SUM(E20:E22)</f>
        <v/>
      </c>
      <c r="F23" s="145">
        <f>SUM(F20:F22)</f>
        <v/>
      </c>
      <c r="G23" s="145">
        <f>SUM(G20:G22)</f>
        <v/>
      </c>
      <c r="H23" s="135">
        <f>SUM(H20:H22)</f>
        <v/>
      </c>
      <c r="I23" s="135">
        <f>SUM(I20:I22)</f>
        <v/>
      </c>
      <c r="J23" s="135">
        <f>SUM(J20:J22)</f>
        <v/>
      </c>
    </row>
    <row r="24">
      <c r="A24" s="38" t="inlineStr">
        <is>
          <t>Salidas financieras y de inversión:</t>
        </is>
      </c>
      <c r="B24" s="18" t="n"/>
      <c r="C24" s="1" t="n"/>
      <c r="D24" s="1" t="n"/>
      <c r="E24" s="1" t="n"/>
      <c r="F24" s="1" t="n"/>
      <c r="G24" s="1" t="n"/>
    </row>
    <row r="25">
      <c r="A25" s="1" t="inlineStr">
        <is>
          <t>Compra de bienes de capital (inversión inicial)</t>
        </is>
      </c>
      <c r="B25" s="122">
        <f>'Inversión inicial'!C26</f>
        <v/>
      </c>
      <c r="C25" s="7" t="n"/>
      <c r="D25" s="7" t="n"/>
      <c r="E25" s="7" t="n"/>
      <c r="F25" s="7" t="n"/>
      <c r="G25" s="7" t="n"/>
      <c r="H25" s="10" t="n"/>
      <c r="I25" s="10" t="n"/>
      <c r="J25" s="10" t="n"/>
    </row>
    <row r="26">
      <c r="A26" s="1" t="inlineStr">
        <is>
          <t>Pago de préstamo e intereses ($0 desde año 6, crédito liquidado)</t>
        </is>
      </c>
      <c r="B26" s="7" t="n"/>
      <c r="C26" s="122">
        <f>Amortización!J16+Amortización!K16</f>
        <v/>
      </c>
      <c r="D26" s="122">
        <f>Amortización!J17+Amortización!K17</f>
        <v/>
      </c>
      <c r="E26" s="122">
        <f>Amortización!J18+Amortización!K18</f>
        <v/>
      </c>
      <c r="F26" s="122">
        <f>Amortización!J19+Amortización!K19</f>
        <v/>
      </c>
      <c r="G26" s="122">
        <f>Amortización!J20+Amortización!K20</f>
        <v/>
      </c>
      <c r="H26" s="135">
        <f>Amortización!J21+Amortización!K21</f>
        <v/>
      </c>
      <c r="I26" s="135">
        <f>Amortización!J22+Amortización!K22</f>
        <v/>
      </c>
      <c r="J26" s="135">
        <f>Amortización!J23+Amortización!K23</f>
        <v/>
      </c>
    </row>
    <row r="27">
      <c r="A27" s="1" t="inlineStr">
        <is>
          <t>Otras salidas financieras y de inversión</t>
        </is>
      </c>
      <c r="B27" s="4" t="n"/>
      <c r="C27" s="4" t="n"/>
      <c r="D27" s="4" t="n"/>
      <c r="E27" s="4" t="n"/>
      <c r="F27" s="4" t="n"/>
      <c r="G27" s="4" t="n"/>
    </row>
    <row r="28">
      <c r="A28" s="38" t="inlineStr">
        <is>
          <t>Total de salidas financieras y de inversión</t>
        </is>
      </c>
      <c r="B28" s="146">
        <f>SUM(B25:B27)</f>
        <v/>
      </c>
      <c r="C28" s="146">
        <f>SUM(C25:C27)</f>
        <v/>
      </c>
      <c r="D28" s="146">
        <f>SUM(D25:D27)</f>
        <v/>
      </c>
      <c r="E28" s="146">
        <f>SUM(E25:E27)</f>
        <v/>
      </c>
      <c r="F28" s="146">
        <f>SUM(F25:F27)</f>
        <v/>
      </c>
      <c r="G28" s="146">
        <f>SUM(G25:G27)</f>
        <v/>
      </c>
      <c r="H28" s="135">
        <f>SUM(H25:H27)</f>
        <v/>
      </c>
      <c r="I28" s="135">
        <f>SUM(I25:I27)</f>
        <v/>
      </c>
      <c r="J28" s="135">
        <f>SUM(J25:J27)</f>
        <v/>
      </c>
    </row>
    <row r="29">
      <c r="A29" s="38" t="inlineStr">
        <is>
          <t>Flujo neto de efectivo del período</t>
        </is>
      </c>
      <c r="B29" s="145">
        <f>B18+B23-B28-B6</f>
        <v/>
      </c>
      <c r="C29" s="145">
        <f>C18+C23-C28</f>
        <v/>
      </c>
      <c r="D29" s="145">
        <f>D18+D23-D28</f>
        <v/>
      </c>
      <c r="E29" s="145">
        <f>E18+E23-E28</f>
        <v/>
      </c>
      <c r="F29" s="145">
        <f>F18+F23-F28</f>
        <v/>
      </c>
      <c r="G29" s="145">
        <f>G18+G23-G28</f>
        <v/>
      </c>
      <c r="H29" s="135">
        <f>H18+H23-H28</f>
        <v/>
      </c>
      <c r="I29" s="135">
        <f>I18+I23-I28</f>
        <v/>
      </c>
      <c r="J29" s="135">
        <f>J18+J23-J28</f>
        <v/>
      </c>
    </row>
    <row r="30">
      <c r="A30" s="18" t="inlineStr">
        <is>
          <t xml:space="preserve">Saldo final de flujo de efectivo </t>
        </is>
      </c>
      <c r="B30" s="145">
        <f>B18+B23-B28</f>
        <v/>
      </c>
      <c r="C30" s="145">
        <f>C18+C23-C28</f>
        <v/>
      </c>
      <c r="D30" s="145">
        <f>D18+D23-D28</f>
        <v/>
      </c>
      <c r="E30" s="145">
        <f>E18+E23-E28</f>
        <v/>
      </c>
      <c r="F30" s="145">
        <f>F18+F23-F28</f>
        <v/>
      </c>
      <c r="G30" s="145">
        <f>G18+G23-G28</f>
        <v/>
      </c>
    </row>
  </sheetData>
  <pageMargins left="0.7" right="0.7" top="0.75" bottom="0.75" header="0.3" footer="0.3"/>
  <pageSetup orientation="portrait" horizontalDpi="4294967293" verticalDpi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8"/>
  <sheetViews>
    <sheetView zoomScaleNormal="100" workbookViewId="0">
      <selection activeCell="K4" sqref="K4"/>
    </sheetView>
  </sheetViews>
  <sheetFormatPr baseColWidth="10" defaultRowHeight="15"/>
  <cols>
    <col width="26.5703125" customWidth="1" style="94" min="1" max="1"/>
    <col width="14.85546875" customWidth="1" style="94" min="2" max="2"/>
    <col width="28.85546875" customWidth="1" style="94" min="4" max="4"/>
    <col width="23.28515625" customWidth="1" style="94" min="5" max="5"/>
    <col width="14.42578125" customWidth="1" style="94" min="6" max="6"/>
    <col width="27.5703125" customWidth="1" style="94" min="7" max="7"/>
    <col width="12.85546875" customWidth="1" style="94" min="8" max="8"/>
    <col width="13.7109375" customWidth="1" style="94" min="9" max="9"/>
    <col width="6.7109375" customWidth="1" style="94" min="10" max="10"/>
    <col width="7.140625" customWidth="1" style="94" min="11" max="11"/>
    <col width="22.7109375" customWidth="1" style="94" min="12" max="12"/>
    <col width="14.28515625" customWidth="1" style="94" min="13" max="13"/>
  </cols>
  <sheetData>
    <row r="1" ht="18.75" customHeight="1" s="94">
      <c r="A1" s="26" t="inlineStr">
        <is>
          <t>VALOR ACTUAL NETO, TASA INTERNA DE RETORNO, ROI Y HORIZONTE DE VIABILIDAD — AeroGuardia</t>
        </is>
      </c>
      <c r="B1" s="26" t="n"/>
      <c r="C1" s="26" t="n"/>
      <c r="D1" s="26" t="n"/>
    </row>
    <row r="2">
      <c r="A2" s="128" t="n"/>
      <c r="B2" s="128" t="n"/>
      <c r="C2" s="128" t="n"/>
      <c r="D2" s="128" t="n"/>
      <c r="E2" s="128" t="n"/>
      <c r="F2" s="128" t="n"/>
      <c r="G2" s="128" t="n"/>
      <c r="H2" s="128" t="n"/>
      <c r="I2" s="128" t="n"/>
    </row>
    <row r="3">
      <c r="A3" s="5" t="inlineStr">
        <is>
          <t>Inversión Inicial</t>
        </is>
      </c>
      <c r="B3" s="127">
        <f>'Inversión inicial'!C26</f>
        <v/>
      </c>
    </row>
    <row r="4">
      <c r="B4" s="128" t="n"/>
      <c r="D4" s="73" t="inlineStr">
        <is>
          <t>Valor Actual Neto</t>
        </is>
      </c>
      <c r="E4" s="6" t="inlineStr">
        <is>
          <t>VAN</t>
        </is>
      </c>
      <c r="G4" s="73" t="inlineStr">
        <is>
          <t>Tasa Interna de Retorno</t>
        </is>
      </c>
      <c r="H4" s="6" t="inlineStr">
        <is>
          <t>TIR</t>
        </is>
      </c>
      <c r="K4" s="77" t="inlineStr">
        <is>
          <t>Recuperación de la inversión</t>
        </is>
      </c>
    </row>
    <row r="5">
      <c r="A5" s="147" t="n"/>
      <c r="E5" s="5" t="n"/>
    </row>
    <row r="6">
      <c r="A6" s="73" t="inlineStr">
        <is>
          <t>Flujos</t>
        </is>
      </c>
      <c r="B6" s="148" t="n"/>
      <c r="D6" s="73" t="inlineStr">
        <is>
          <t>Inversión inicial (en negativo)</t>
        </is>
      </c>
      <c r="E6" s="130">
        <f>B21</f>
        <v/>
      </c>
      <c r="G6" s="73" t="inlineStr">
        <is>
          <t>Inversión inicial (en negativo)</t>
        </is>
      </c>
      <c r="H6" s="130">
        <f>B21</f>
        <v/>
      </c>
      <c r="K6" s="73" t="inlineStr">
        <is>
          <t>Año</t>
        </is>
      </c>
      <c r="L6" s="6" t="inlineStr">
        <is>
          <t>Flujo neto</t>
        </is>
      </c>
      <c r="M6" s="149" t="inlineStr">
        <is>
          <t>Acumulado</t>
        </is>
      </c>
    </row>
    <row r="7">
      <c r="A7" s="2" t="inlineStr">
        <is>
          <t>F1</t>
        </is>
      </c>
      <c r="B7" s="121">
        <f>'Flujo de efectivo'!C29</f>
        <v/>
      </c>
      <c r="D7" s="98" t="inlineStr">
        <is>
          <t>Flujos</t>
        </is>
      </c>
      <c r="E7" s="122">
        <f>+B7</f>
        <v/>
      </c>
      <c r="G7" s="98" t="inlineStr">
        <is>
          <t>Flujos</t>
        </is>
      </c>
      <c r="H7" s="122">
        <f>+E7</f>
        <v/>
      </c>
      <c r="K7" s="2" t="n">
        <v>0</v>
      </c>
      <c r="L7" s="122">
        <f>B21</f>
        <v/>
      </c>
      <c r="M7" s="122">
        <f>L7</f>
        <v/>
      </c>
    </row>
    <row r="8">
      <c r="A8" s="2" t="inlineStr">
        <is>
          <t>F2</t>
        </is>
      </c>
      <c r="B8" s="121">
        <f>'Flujo de efectivo'!D29</f>
        <v/>
      </c>
      <c r="D8" s="99" t="n"/>
      <c r="E8" s="122">
        <f>+B8</f>
        <v/>
      </c>
      <c r="G8" s="99" t="n"/>
      <c r="H8" s="122">
        <f>+E8</f>
        <v/>
      </c>
      <c r="K8" s="2" t="n">
        <v>1</v>
      </c>
      <c r="L8" s="121">
        <f>B7</f>
        <v/>
      </c>
      <c r="M8" s="122">
        <f>M7+L8</f>
        <v/>
      </c>
    </row>
    <row r="9">
      <c r="A9" s="2" t="inlineStr">
        <is>
          <t>F3</t>
        </is>
      </c>
      <c r="B9" s="121">
        <f>'Flujo de efectivo'!E29</f>
        <v/>
      </c>
      <c r="D9" s="99" t="n"/>
      <c r="E9" s="122">
        <f>+B9</f>
        <v/>
      </c>
      <c r="G9" s="99" t="n"/>
      <c r="H9" s="122">
        <f>+E9</f>
        <v/>
      </c>
      <c r="K9" s="2" t="n">
        <v>2</v>
      </c>
      <c r="L9" s="121">
        <f>B8</f>
        <v/>
      </c>
      <c r="M9" s="122">
        <f>M8+L9</f>
        <v/>
      </c>
    </row>
    <row r="10">
      <c r="A10" s="2" t="inlineStr">
        <is>
          <t>F4</t>
        </is>
      </c>
      <c r="B10" s="121">
        <f>'Flujo de efectivo'!F29</f>
        <v/>
      </c>
      <c r="D10" s="99" t="n"/>
      <c r="E10" s="122">
        <f>+B10</f>
        <v/>
      </c>
      <c r="G10" s="99" t="n"/>
      <c r="H10" s="122">
        <f>+E10</f>
        <v/>
      </c>
      <c r="K10" s="2" t="n">
        <v>3</v>
      </c>
      <c r="L10" s="121">
        <f>B9</f>
        <v/>
      </c>
      <c r="M10" s="122">
        <f>M9+L10</f>
        <v/>
      </c>
    </row>
    <row r="11">
      <c r="A11" s="2" t="inlineStr">
        <is>
          <t>F5</t>
        </is>
      </c>
      <c r="B11" s="121">
        <f>'Flujo de efectivo'!G29</f>
        <v/>
      </c>
      <c r="D11" s="99" t="n"/>
      <c r="E11" s="122">
        <f>+B11</f>
        <v/>
      </c>
      <c r="G11" s="99" t="n"/>
      <c r="H11" s="122">
        <f>+E11</f>
        <v/>
      </c>
      <c r="K11" s="2" t="n">
        <v>4</v>
      </c>
      <c r="L11" s="121">
        <f>B10</f>
        <v/>
      </c>
      <c r="M11" s="122">
        <f>M10+L11</f>
        <v/>
      </c>
    </row>
    <row r="12">
      <c r="A12" s="81" t="inlineStr">
        <is>
          <t>F6</t>
        </is>
      </c>
      <c r="B12" s="150">
        <f>'Flujo de efectivo'!H29</f>
        <v/>
      </c>
      <c r="D12" s="99" t="n"/>
      <c r="E12" s="134">
        <f>+B12</f>
        <v/>
      </c>
      <c r="G12" s="99" t="n"/>
      <c r="H12" s="134">
        <f>+E12</f>
        <v/>
      </c>
      <c r="K12" s="2" t="n">
        <v>5</v>
      </c>
      <c r="L12" s="121">
        <f>B11</f>
        <v/>
      </c>
      <c r="M12" s="122">
        <f>M11+L12</f>
        <v/>
      </c>
    </row>
    <row r="13">
      <c r="A13" s="81" t="inlineStr">
        <is>
          <t>F7</t>
        </is>
      </c>
      <c r="B13" s="150">
        <f>'Flujo de efectivo'!I29</f>
        <v/>
      </c>
      <c r="D13" s="99" t="n"/>
      <c r="E13" s="134">
        <f>+B13</f>
        <v/>
      </c>
      <c r="G13" s="99" t="n"/>
      <c r="H13" s="134">
        <f>+E13</f>
        <v/>
      </c>
      <c r="K13" s="56" t="n">
        <v>6</v>
      </c>
      <c r="L13" s="151">
        <f>B12</f>
        <v/>
      </c>
      <c r="M13" s="152">
        <f>M12+L13</f>
        <v/>
      </c>
    </row>
    <row r="14">
      <c r="A14" s="81" t="inlineStr">
        <is>
          <t>F8</t>
        </is>
      </c>
      <c r="B14" s="150">
        <f>'Flujo de efectivo'!J29</f>
        <v/>
      </c>
      <c r="D14" s="99" t="n"/>
      <c r="E14" s="134">
        <f>+B14</f>
        <v/>
      </c>
      <c r="G14" s="99" t="n"/>
      <c r="H14" s="134">
        <f>+E14</f>
        <v/>
      </c>
      <c r="K14" s="56" t="n">
        <v>7</v>
      </c>
      <c r="L14" s="135">
        <f>B13</f>
        <v/>
      </c>
      <c r="M14" s="135">
        <f>M13+L14</f>
        <v/>
      </c>
    </row>
    <row r="15">
      <c r="A15" s="2" t="inlineStr">
        <is>
          <t>F9</t>
        </is>
      </c>
      <c r="B15" s="27" t="n"/>
      <c r="D15" s="99" t="n"/>
      <c r="E15" s="122">
        <f>+B15</f>
        <v/>
      </c>
      <c r="G15" s="99" t="n"/>
      <c r="H15" s="122">
        <f>+E15</f>
        <v/>
      </c>
      <c r="K15" s="56" t="n">
        <v>8</v>
      </c>
      <c r="L15" s="135">
        <f>B14</f>
        <v/>
      </c>
      <c r="M15" s="135">
        <f>M14+L15</f>
        <v/>
      </c>
    </row>
    <row r="16">
      <c r="A16" s="2" t="inlineStr">
        <is>
          <t>F10</t>
        </is>
      </c>
      <c r="B16" s="27" t="n"/>
      <c r="D16" s="99" t="n"/>
      <c r="E16" s="122">
        <f>+B16</f>
        <v/>
      </c>
      <c r="G16" s="99" t="n"/>
      <c r="H16" s="122">
        <f>+E16</f>
        <v/>
      </c>
    </row>
    <row r="17">
      <c r="A17" s="2" t="inlineStr">
        <is>
          <t>F11</t>
        </is>
      </c>
      <c r="B17" s="27" t="n"/>
      <c r="D17" s="99" t="n"/>
      <c r="E17" s="122">
        <f>+B17</f>
        <v/>
      </c>
      <c r="G17" s="99" t="n"/>
      <c r="H17" s="122">
        <f>+E17</f>
        <v/>
      </c>
      <c r="K17" s="47" t="inlineStr">
        <is>
          <t>Periodo de recuperación simple (sin descuento, años)</t>
        </is>
      </c>
      <c r="M17">
        <f>IFERROR(IF(M8&gt;=0,1+((-M7)/L8),IF(M9&gt;=0,2+((-M8)/L9),IF(M10&gt;=0,3+((-M9)/L10),IF(M11&gt;=0,4+((-M10)/L11),IF(M12&gt;=0,5+((-M11)/L12),IF(M13&gt;=0,6+((-M12)/L13),IF(M14&gt;=0,7+((-M13)/L14),IF(M15&gt;=0,8+((-M14)/L15),"No se recupera en el horizonte analizado")))))))),"No se recupera en el horizonte analizado")</f>
        <v/>
      </c>
    </row>
    <row r="18">
      <c r="A18" s="2" t="inlineStr">
        <is>
          <t>F12</t>
        </is>
      </c>
      <c r="B18" s="27" t="n"/>
      <c r="D18" s="100" t="n"/>
      <c r="E18" s="122">
        <f>+B18</f>
        <v/>
      </c>
      <c r="G18" s="100" t="n"/>
      <c r="H18" s="122">
        <f>+E18</f>
        <v/>
      </c>
    </row>
    <row r="19">
      <c r="A19" s="73" t="inlineStr">
        <is>
          <t>n (años proyectados)</t>
        </is>
      </c>
      <c r="B19" s="30" t="n">
        <v>8</v>
      </c>
    </row>
    <row r="20">
      <c r="A20" s="73" t="inlineStr">
        <is>
          <t>k = tasa de descuento (costo de la deuda, 100% financiado)</t>
        </is>
      </c>
      <c r="B20" s="85" t="n">
        <v>0.115</v>
      </c>
      <c r="E20" s="6" t="inlineStr">
        <is>
          <t>VAN a 5 años</t>
        </is>
      </c>
      <c r="F20" s="142">
        <f>NPV(B20,E7:E11)+E6</f>
        <v/>
      </c>
      <c r="H20" s="6" t="inlineStr">
        <is>
          <t>TIR a 5 años</t>
        </is>
      </c>
      <c r="I20" s="86">
        <f>IRR(H6:H11)</f>
        <v/>
      </c>
    </row>
    <row r="21">
      <c r="A21" s="73" t="inlineStr">
        <is>
          <t>Inversión inicial en negativo</t>
        </is>
      </c>
      <c r="B21" s="121">
        <f>-B3</f>
        <v/>
      </c>
      <c r="E21" t="inlineStr">
        <is>
          <t>VAN a 8 años</t>
        </is>
      </c>
      <c r="F21" s="125">
        <f>NPV(B20,E7:E14)+E6</f>
        <v/>
      </c>
      <c r="H21" t="inlineStr">
        <is>
          <t>TIR a 8 años</t>
        </is>
      </c>
      <c r="I21" s="39">
        <f>IRR(H6:H14)</f>
        <v/>
      </c>
    </row>
    <row r="23">
      <c r="A23" s="47" t="inlineStr">
        <is>
          <t>ROI a 8 años (Utilidad acumulada / Inversión inicial)</t>
        </is>
      </c>
      <c r="B23" s="39">
        <f>'Estado de Resultados'!B24</f>
        <v/>
      </c>
    </row>
    <row r="25" ht="33.75" customHeight="1" s="94">
      <c r="D25" s="87" t="inlineStr">
        <is>
          <t>El proyecto a 5 años es:</t>
        </is>
      </c>
      <c r="E25" s="88">
        <f>IF(F20&gt;0,IF(I20&gt;B20,"VIABLE","NO VIABLE"),"NO VIABLE")</f>
        <v/>
      </c>
    </row>
    <row r="26">
      <c r="D26" s="47" t="inlineStr">
        <is>
          <t>El proyecto a 8 años es:</t>
        </is>
      </c>
      <c r="E26" s="47">
        <f>IF(F21&gt;0,IF(I21&gt;B20,"VIABLE","NO VIABLE"),"NO VIABLE")</f>
        <v/>
      </c>
    </row>
    <row r="28">
      <c r="A28" s="89" t="inlineStr">
        <is>
          <t>¿En cuántos años es viable AeroGuardia? El VAN se vuelve positivo entre los años 6 y 7 (ver F20/F21 y la tabla de VAN por horizonte abajo) — el proyecto NO es viable a 5 años bajo el criterio estándar VAN/TIR, pero SÍ es viable a mediano plazo.</t>
        </is>
      </c>
    </row>
    <row r="30">
      <c r="A30" s="47" t="inlineStr">
        <is>
          <t>VAN por horizonte (n años)</t>
        </is>
      </c>
      <c r="B30" s="47" t="inlineStr">
        <is>
          <t>Año</t>
        </is>
      </c>
      <c r="C30" s="47" t="inlineStr">
        <is>
          <t>VAN acumulado a ese horizonte</t>
        </is>
      </c>
    </row>
    <row r="31">
      <c r="B31" t="n">
        <v>1</v>
      </c>
      <c r="C31" s="125">
        <f>NPV($B$20,$E$7:$E7)+$E$6</f>
        <v/>
      </c>
    </row>
    <row r="32">
      <c r="B32" t="n">
        <v>2</v>
      </c>
      <c r="C32" s="125">
        <f>NPV($B$20,$E$7:$E8)+$E$6</f>
        <v/>
      </c>
    </row>
    <row r="33">
      <c r="B33" t="n">
        <v>3</v>
      </c>
      <c r="C33" s="125">
        <f>NPV($B$20,$E$7:$E9)+$E$6</f>
        <v/>
      </c>
    </row>
    <row r="34">
      <c r="B34" t="n">
        <v>4</v>
      </c>
      <c r="C34" s="125">
        <f>NPV($B$20,$E$7:$E10)+$E$6</f>
        <v/>
      </c>
    </row>
    <row r="35">
      <c r="B35" t="n">
        <v>5</v>
      </c>
      <c r="C35" s="125">
        <f>NPV($B$20,$E$7:$E11)+$E$6</f>
        <v/>
      </c>
    </row>
    <row r="36">
      <c r="B36" s="56" t="n">
        <v>6</v>
      </c>
      <c r="C36" s="135">
        <f>NPV($B$20,$E$7:$E12)+$E$6</f>
        <v/>
      </c>
    </row>
    <row r="37">
      <c r="B37" s="56" t="n">
        <v>7</v>
      </c>
      <c r="C37" s="135">
        <f>NPV($B$20,$E$7:$E13)+$E$6</f>
        <v/>
      </c>
    </row>
    <row r="38">
      <c r="B38" s="56" t="n">
        <v>8</v>
      </c>
      <c r="C38" s="135">
        <f>NPV($B$20,$E$7:$E14)+$E$6</f>
        <v/>
      </c>
    </row>
  </sheetData>
  <mergeCells count="2">
    <mergeCell ref="D7:D18"/>
    <mergeCell ref="G7:G18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B11" sqref="B11"/>
    </sheetView>
  </sheetViews>
  <sheetFormatPr baseColWidth="10" defaultColWidth="9.140625" defaultRowHeight="15"/>
  <cols>
    <col width="22" customWidth="1" style="94" min="1" max="1"/>
    <col width="8" customWidth="1" style="94" min="2" max="2"/>
    <col width="16" customWidth="1" style="94" min="3" max="3"/>
    <col width="14" customWidth="1" style="94" min="4" max="6"/>
    <col width="16" customWidth="1" style="94" min="7" max="7"/>
    <col width="8" customWidth="1" style="94" min="9" max="9"/>
    <col width="16" customWidth="1" style="94" min="10" max="11"/>
  </cols>
  <sheetData>
    <row r="1" ht="18.75" customHeight="1" s="94">
      <c r="A1" s="90" t="inlineStr">
        <is>
          <t>Tabla de amortización del crédito</t>
        </is>
      </c>
    </row>
    <row r="2">
      <c r="A2" t="inlineStr">
        <is>
          <t>Entidad financiera: crédito empresarial PYME a 5 años (se liquida al final del año 5)</t>
        </is>
      </c>
    </row>
    <row r="4">
      <c r="A4" s="91" t="inlineStr">
        <is>
          <t>Importe del préstamo (MXN)</t>
        </is>
      </c>
      <c r="B4" s="35">
        <f>'Inversión inicial'!D32</f>
        <v/>
      </c>
    </row>
    <row r="5">
      <c r="A5" s="91" t="inlineStr">
        <is>
          <t>Interés anual nominal</t>
        </is>
      </c>
      <c r="B5" s="39" t="n">
        <v>0.115</v>
      </c>
    </row>
    <row r="6">
      <c r="A6" s="91" t="inlineStr">
        <is>
          <t>Plazo (años)</t>
        </is>
      </c>
      <c r="B6" t="n">
        <v>5</v>
      </c>
    </row>
    <row r="7">
      <c r="A7" s="91" t="inlineStr">
        <is>
          <t>Pagos por año</t>
        </is>
      </c>
      <c r="B7" t="n">
        <v>12</v>
      </c>
    </row>
    <row r="8">
      <c r="A8" s="47" t="inlineStr">
        <is>
          <t>Número total de pagos</t>
        </is>
      </c>
      <c r="B8">
        <f>B6*B7</f>
        <v/>
      </c>
    </row>
    <row r="9">
      <c r="A9" s="47" t="inlineStr">
        <is>
          <t>Tasa mensual</t>
        </is>
      </c>
      <c r="B9" s="153">
        <f>B5/B7</f>
        <v/>
      </c>
    </row>
    <row r="10">
      <c r="A10" s="47" t="inlineStr">
        <is>
          <t>Pago mensual (PMT)</t>
        </is>
      </c>
      <c r="B10" s="35">
        <f>-PMT(B9,B8,B4)</f>
        <v/>
      </c>
    </row>
    <row r="11">
      <c r="A11" s="47" t="inlineStr">
        <is>
          <t>Interés total del crédito</t>
        </is>
      </c>
      <c r="B11" s="35">
        <f>B10*B8-B4</f>
        <v/>
      </c>
    </row>
    <row r="14">
      <c r="A14" s="93" t="inlineStr">
        <is>
          <t>Pago Nº</t>
        </is>
      </c>
      <c r="B14" s="93" t="inlineStr">
        <is>
          <t>Año</t>
        </is>
      </c>
      <c r="C14" s="93" t="inlineStr">
        <is>
          <t>Saldo inicial</t>
        </is>
      </c>
      <c r="D14" s="93" t="inlineStr">
        <is>
          <t>Pago mensual</t>
        </is>
      </c>
      <c r="E14" s="93" t="inlineStr">
        <is>
          <t>Capital</t>
        </is>
      </c>
      <c r="F14" s="93" t="inlineStr">
        <is>
          <t>Intereses</t>
        </is>
      </c>
      <c r="G14" s="93" t="inlineStr">
        <is>
          <t>Saldo final</t>
        </is>
      </c>
      <c r="I14" s="47" t="inlineStr">
        <is>
          <t>Resumen anual</t>
        </is>
      </c>
    </row>
    <row r="15">
      <c r="A15" t="n">
        <v>1</v>
      </c>
      <c r="B15">
        <f>ROUNDUP(A15/12,0)</f>
        <v/>
      </c>
      <c r="C15" s="35">
        <f>$B$4</f>
        <v/>
      </c>
      <c r="D15" s="35">
        <f>$B$10</f>
        <v/>
      </c>
      <c r="E15" s="35">
        <f>D15-F15</f>
        <v/>
      </c>
      <c r="F15" s="35">
        <f>C15*$B$9</f>
        <v/>
      </c>
      <c r="G15" s="35">
        <f>C15-E15</f>
        <v/>
      </c>
      <c r="I15" s="47" t="inlineStr">
        <is>
          <t>Año</t>
        </is>
      </c>
      <c r="J15" s="47" t="inlineStr">
        <is>
          <t>Interés del año</t>
        </is>
      </c>
      <c r="K15" s="47" t="inlineStr">
        <is>
          <t>Capital del año</t>
        </is>
      </c>
    </row>
    <row r="16">
      <c r="A16" t="n">
        <v>2</v>
      </c>
      <c r="B16">
        <f>ROUNDUP(A16/12,0)</f>
        <v/>
      </c>
      <c r="C16" s="35">
        <f>G15</f>
        <v/>
      </c>
      <c r="D16" s="35">
        <f>$B$10</f>
        <v/>
      </c>
      <c r="E16" s="35">
        <f>D16-F16</f>
        <v/>
      </c>
      <c r="F16" s="35">
        <f>C16*$B$9</f>
        <v/>
      </c>
      <c r="G16" s="35">
        <f>C16-E16</f>
        <v/>
      </c>
      <c r="I16" t="n">
        <v>1</v>
      </c>
      <c r="J16" s="35">
        <f>SUMIF($B$15:$B$74,I16,$F$15:$F$74)</f>
        <v/>
      </c>
      <c r="K16" s="35">
        <f>SUMIF($B$15:$B$74,I16,$E$15:$E$74)</f>
        <v/>
      </c>
    </row>
    <row r="17">
      <c r="A17" t="n">
        <v>3</v>
      </c>
      <c r="B17">
        <f>ROUNDUP(A17/12,0)</f>
        <v/>
      </c>
      <c r="C17" s="35">
        <f>G16</f>
        <v/>
      </c>
      <c r="D17" s="35">
        <f>$B$10</f>
        <v/>
      </c>
      <c r="E17" s="35">
        <f>D17-F17</f>
        <v/>
      </c>
      <c r="F17" s="35">
        <f>C17*$B$9</f>
        <v/>
      </c>
      <c r="G17" s="35">
        <f>C17-E17</f>
        <v/>
      </c>
      <c r="I17" t="n">
        <v>2</v>
      </c>
      <c r="J17" s="35">
        <f>SUMIF($B$15:$B$74,I17,$F$15:$F$74)</f>
        <v/>
      </c>
      <c r="K17" s="35">
        <f>SUMIF($B$15:$B$74,I17,$E$15:$E$74)</f>
        <v/>
      </c>
    </row>
    <row r="18">
      <c r="A18" t="n">
        <v>4</v>
      </c>
      <c r="B18">
        <f>ROUNDUP(A18/12,0)</f>
        <v/>
      </c>
      <c r="C18" s="35">
        <f>G17</f>
        <v/>
      </c>
      <c r="D18" s="35">
        <f>$B$10</f>
        <v/>
      </c>
      <c r="E18" s="35">
        <f>D18-F18</f>
        <v/>
      </c>
      <c r="F18" s="35">
        <f>C18*$B$9</f>
        <v/>
      </c>
      <c r="G18" s="35">
        <f>C18-E18</f>
        <v/>
      </c>
      <c r="I18" t="n">
        <v>3</v>
      </c>
      <c r="J18" s="35">
        <f>SUMIF($B$15:$B$74,I18,$F$15:$F$74)</f>
        <v/>
      </c>
      <c r="K18" s="35">
        <f>SUMIF($B$15:$B$74,I18,$E$15:$E$74)</f>
        <v/>
      </c>
    </row>
    <row r="19">
      <c r="A19" t="n">
        <v>5</v>
      </c>
      <c r="B19">
        <f>ROUNDUP(A19/12,0)</f>
        <v/>
      </c>
      <c r="C19" s="35">
        <f>G18</f>
        <v/>
      </c>
      <c r="D19" s="35">
        <f>$B$10</f>
        <v/>
      </c>
      <c r="E19" s="35">
        <f>D19-F19</f>
        <v/>
      </c>
      <c r="F19" s="35">
        <f>C19*$B$9</f>
        <v/>
      </c>
      <c r="G19" s="35">
        <f>C19-E19</f>
        <v/>
      </c>
      <c r="I19" t="n">
        <v>4</v>
      </c>
      <c r="J19" s="35">
        <f>SUMIF($B$15:$B$74,I19,$F$15:$F$74)</f>
        <v/>
      </c>
      <c r="K19" s="35">
        <f>SUMIF($B$15:$B$74,I19,$E$15:$E$74)</f>
        <v/>
      </c>
    </row>
    <row r="20">
      <c r="A20" t="n">
        <v>6</v>
      </c>
      <c r="B20">
        <f>ROUNDUP(A20/12,0)</f>
        <v/>
      </c>
      <c r="C20" s="35">
        <f>G19</f>
        <v/>
      </c>
      <c r="D20" s="35">
        <f>$B$10</f>
        <v/>
      </c>
      <c r="E20" s="35">
        <f>D20-F20</f>
        <v/>
      </c>
      <c r="F20" s="35">
        <f>C20*$B$9</f>
        <v/>
      </c>
      <c r="G20" s="35">
        <f>C20-E20</f>
        <v/>
      </c>
      <c r="I20" t="n">
        <v>5</v>
      </c>
      <c r="J20" s="35">
        <f>SUMIF($B$15:$B$74,I20,$F$15:$F$74)</f>
        <v/>
      </c>
      <c r="K20" s="35">
        <f>SUMIF($B$15:$B$74,I20,$E$15:$E$74)</f>
        <v/>
      </c>
    </row>
    <row r="21">
      <c r="A21" t="n">
        <v>7</v>
      </c>
      <c r="B21">
        <f>ROUNDUP(A21/12,0)</f>
        <v/>
      </c>
      <c r="C21" s="35">
        <f>G20</f>
        <v/>
      </c>
      <c r="D21" s="35">
        <f>$B$10</f>
        <v/>
      </c>
      <c r="E21" s="35">
        <f>D21-F21</f>
        <v/>
      </c>
      <c r="F21" s="35">
        <f>C21*$B$9</f>
        <v/>
      </c>
      <c r="G21" s="35">
        <f>C21-E21</f>
        <v/>
      </c>
      <c r="I21" t="n">
        <v>6</v>
      </c>
      <c r="J21" s="35">
        <f>SUMIF($B$15:$B$74,I21,$F$15:$F$74)</f>
        <v/>
      </c>
      <c r="K21" s="35">
        <f>SUMIF($B$15:$B$74,I21,$E$15:$E$74)</f>
        <v/>
      </c>
    </row>
    <row r="22">
      <c r="A22" t="n">
        <v>8</v>
      </c>
      <c r="B22">
        <f>ROUNDUP(A22/12,0)</f>
        <v/>
      </c>
      <c r="C22" s="35">
        <f>G21</f>
        <v/>
      </c>
      <c r="D22" s="35">
        <f>$B$10</f>
        <v/>
      </c>
      <c r="E22" s="35">
        <f>D22-F22</f>
        <v/>
      </c>
      <c r="F22" s="35">
        <f>C22*$B$9</f>
        <v/>
      </c>
      <c r="G22" s="35">
        <f>C22-E22</f>
        <v/>
      </c>
      <c r="I22" t="n">
        <v>7</v>
      </c>
      <c r="J22" s="35">
        <f>SUMIF($B$15:$B$74,I22,$F$15:$F$74)</f>
        <v/>
      </c>
      <c r="K22" s="35">
        <f>SUMIF($B$15:$B$74,I22,$E$15:$E$74)</f>
        <v/>
      </c>
    </row>
    <row r="23">
      <c r="A23" t="n">
        <v>9</v>
      </c>
      <c r="B23">
        <f>ROUNDUP(A23/12,0)</f>
        <v/>
      </c>
      <c r="C23" s="35">
        <f>G22</f>
        <v/>
      </c>
      <c r="D23" s="35">
        <f>$B$10</f>
        <v/>
      </c>
      <c r="E23" s="35">
        <f>D23-F23</f>
        <v/>
      </c>
      <c r="F23" s="35">
        <f>C23*$B$9</f>
        <v/>
      </c>
      <c r="G23" s="35">
        <f>C23-E23</f>
        <v/>
      </c>
      <c r="I23" t="n">
        <v>8</v>
      </c>
      <c r="J23" s="35">
        <f>SUMIF($B$15:$B$74,I23,$F$15:$F$74)</f>
        <v/>
      </c>
      <c r="K23" s="35">
        <f>SUMIF($B$15:$B$74,I23,$E$15:$E$74)</f>
        <v/>
      </c>
    </row>
    <row r="24">
      <c r="A24" t="n">
        <v>10</v>
      </c>
      <c r="B24">
        <f>ROUNDUP(A24/12,0)</f>
        <v/>
      </c>
      <c r="C24" s="35">
        <f>G23</f>
        <v/>
      </c>
      <c r="D24" s="35">
        <f>$B$10</f>
        <v/>
      </c>
      <c r="E24" s="35">
        <f>D24-F24</f>
        <v/>
      </c>
      <c r="F24" s="35">
        <f>C24*$B$9</f>
        <v/>
      </c>
      <c r="G24" s="35">
        <f>C24-E24</f>
        <v/>
      </c>
    </row>
    <row r="25">
      <c r="A25" t="n">
        <v>11</v>
      </c>
      <c r="B25">
        <f>ROUNDUP(A25/12,0)</f>
        <v/>
      </c>
      <c r="C25" s="35">
        <f>G24</f>
        <v/>
      </c>
      <c r="D25" s="35">
        <f>$B$10</f>
        <v/>
      </c>
      <c r="E25" s="35">
        <f>D25-F25</f>
        <v/>
      </c>
      <c r="F25" s="35">
        <f>C25*$B$9</f>
        <v/>
      </c>
      <c r="G25" s="35">
        <f>C25-E25</f>
        <v/>
      </c>
    </row>
    <row r="26">
      <c r="A26" t="n">
        <v>12</v>
      </c>
      <c r="B26">
        <f>ROUNDUP(A26/12,0)</f>
        <v/>
      </c>
      <c r="C26" s="35">
        <f>G25</f>
        <v/>
      </c>
      <c r="D26" s="35">
        <f>$B$10</f>
        <v/>
      </c>
      <c r="E26" s="35">
        <f>D26-F26</f>
        <v/>
      </c>
      <c r="F26" s="35">
        <f>C26*$B$9</f>
        <v/>
      </c>
      <c r="G26" s="35">
        <f>C26-E26</f>
        <v/>
      </c>
    </row>
    <row r="27">
      <c r="A27" t="n">
        <v>13</v>
      </c>
      <c r="B27">
        <f>ROUNDUP(A27/12,0)</f>
        <v/>
      </c>
      <c r="C27" s="35">
        <f>G26</f>
        <v/>
      </c>
      <c r="D27" s="35">
        <f>$B$10</f>
        <v/>
      </c>
      <c r="E27" s="35">
        <f>D27-F27</f>
        <v/>
      </c>
      <c r="F27" s="35">
        <f>C27*$B$9</f>
        <v/>
      </c>
      <c r="G27" s="35">
        <f>C27-E27</f>
        <v/>
      </c>
    </row>
    <row r="28">
      <c r="A28" t="n">
        <v>14</v>
      </c>
      <c r="B28">
        <f>ROUNDUP(A28/12,0)</f>
        <v/>
      </c>
      <c r="C28" s="35">
        <f>G27</f>
        <v/>
      </c>
      <c r="D28" s="35">
        <f>$B$10</f>
        <v/>
      </c>
      <c r="E28" s="35">
        <f>D28-F28</f>
        <v/>
      </c>
      <c r="F28" s="35">
        <f>C28*$B$9</f>
        <v/>
      </c>
      <c r="G28" s="35">
        <f>C28-E28</f>
        <v/>
      </c>
    </row>
    <row r="29">
      <c r="A29" t="n">
        <v>15</v>
      </c>
      <c r="B29">
        <f>ROUNDUP(A29/12,0)</f>
        <v/>
      </c>
      <c r="C29" s="35">
        <f>G28</f>
        <v/>
      </c>
      <c r="D29" s="35">
        <f>$B$10</f>
        <v/>
      </c>
      <c r="E29" s="35">
        <f>D29-F29</f>
        <v/>
      </c>
      <c r="F29" s="35">
        <f>C29*$B$9</f>
        <v/>
      </c>
      <c r="G29" s="35">
        <f>C29-E29</f>
        <v/>
      </c>
    </row>
    <row r="30">
      <c r="A30" t="n">
        <v>16</v>
      </c>
      <c r="B30">
        <f>ROUNDUP(A30/12,0)</f>
        <v/>
      </c>
      <c r="C30" s="35">
        <f>G29</f>
        <v/>
      </c>
      <c r="D30" s="35">
        <f>$B$10</f>
        <v/>
      </c>
      <c r="E30" s="35">
        <f>D30-F30</f>
        <v/>
      </c>
      <c r="F30" s="35">
        <f>C30*$B$9</f>
        <v/>
      </c>
      <c r="G30" s="35">
        <f>C30-E30</f>
        <v/>
      </c>
    </row>
    <row r="31">
      <c r="A31" t="n">
        <v>17</v>
      </c>
      <c r="B31">
        <f>ROUNDUP(A31/12,0)</f>
        <v/>
      </c>
      <c r="C31" s="35">
        <f>G30</f>
        <v/>
      </c>
      <c r="D31" s="35">
        <f>$B$10</f>
        <v/>
      </c>
      <c r="E31" s="35">
        <f>D31-F31</f>
        <v/>
      </c>
      <c r="F31" s="35">
        <f>C31*$B$9</f>
        <v/>
      </c>
      <c r="G31" s="35">
        <f>C31-E31</f>
        <v/>
      </c>
    </row>
    <row r="32">
      <c r="A32" t="n">
        <v>18</v>
      </c>
      <c r="B32">
        <f>ROUNDUP(A32/12,0)</f>
        <v/>
      </c>
      <c r="C32" s="35">
        <f>G31</f>
        <v/>
      </c>
      <c r="D32" s="35">
        <f>$B$10</f>
        <v/>
      </c>
      <c r="E32" s="35">
        <f>D32-F32</f>
        <v/>
      </c>
      <c r="F32" s="35">
        <f>C32*$B$9</f>
        <v/>
      </c>
      <c r="G32" s="35">
        <f>C32-E32</f>
        <v/>
      </c>
    </row>
    <row r="33">
      <c r="A33" t="n">
        <v>19</v>
      </c>
      <c r="B33">
        <f>ROUNDUP(A33/12,0)</f>
        <v/>
      </c>
      <c r="C33" s="35">
        <f>G32</f>
        <v/>
      </c>
      <c r="D33" s="35">
        <f>$B$10</f>
        <v/>
      </c>
      <c r="E33" s="35">
        <f>D33-F33</f>
        <v/>
      </c>
      <c r="F33" s="35">
        <f>C33*$B$9</f>
        <v/>
      </c>
      <c r="G33" s="35">
        <f>C33-E33</f>
        <v/>
      </c>
    </row>
    <row r="34">
      <c r="A34" t="n">
        <v>20</v>
      </c>
      <c r="B34">
        <f>ROUNDUP(A34/12,0)</f>
        <v/>
      </c>
      <c r="C34" s="35">
        <f>G33</f>
        <v/>
      </c>
      <c r="D34" s="35">
        <f>$B$10</f>
        <v/>
      </c>
      <c r="E34" s="35">
        <f>D34-F34</f>
        <v/>
      </c>
      <c r="F34" s="35">
        <f>C34*$B$9</f>
        <v/>
      </c>
      <c r="G34" s="35">
        <f>C34-E34</f>
        <v/>
      </c>
    </row>
    <row r="35">
      <c r="A35" t="n">
        <v>21</v>
      </c>
      <c r="B35">
        <f>ROUNDUP(A35/12,0)</f>
        <v/>
      </c>
      <c r="C35" s="35">
        <f>G34</f>
        <v/>
      </c>
      <c r="D35" s="35">
        <f>$B$10</f>
        <v/>
      </c>
      <c r="E35" s="35">
        <f>D35-F35</f>
        <v/>
      </c>
      <c r="F35" s="35">
        <f>C35*$B$9</f>
        <v/>
      </c>
      <c r="G35" s="35">
        <f>C35-E35</f>
        <v/>
      </c>
    </row>
    <row r="36">
      <c r="A36" t="n">
        <v>22</v>
      </c>
      <c r="B36">
        <f>ROUNDUP(A36/12,0)</f>
        <v/>
      </c>
      <c r="C36" s="35">
        <f>G35</f>
        <v/>
      </c>
      <c r="D36" s="35">
        <f>$B$10</f>
        <v/>
      </c>
      <c r="E36" s="35">
        <f>D36-F36</f>
        <v/>
      </c>
      <c r="F36" s="35">
        <f>C36*$B$9</f>
        <v/>
      </c>
      <c r="G36" s="35">
        <f>C36-E36</f>
        <v/>
      </c>
    </row>
    <row r="37">
      <c r="A37" t="n">
        <v>23</v>
      </c>
      <c r="B37">
        <f>ROUNDUP(A37/12,0)</f>
        <v/>
      </c>
      <c r="C37" s="35">
        <f>G36</f>
        <v/>
      </c>
      <c r="D37" s="35">
        <f>$B$10</f>
        <v/>
      </c>
      <c r="E37" s="35">
        <f>D37-F37</f>
        <v/>
      </c>
      <c r="F37" s="35">
        <f>C37*$B$9</f>
        <v/>
      </c>
      <c r="G37" s="35">
        <f>C37-E37</f>
        <v/>
      </c>
    </row>
    <row r="38">
      <c r="A38" t="n">
        <v>24</v>
      </c>
      <c r="B38">
        <f>ROUNDUP(A38/12,0)</f>
        <v/>
      </c>
      <c r="C38" s="35">
        <f>G37</f>
        <v/>
      </c>
      <c r="D38" s="35">
        <f>$B$10</f>
        <v/>
      </c>
      <c r="E38" s="35">
        <f>D38-F38</f>
        <v/>
      </c>
      <c r="F38" s="35">
        <f>C38*$B$9</f>
        <v/>
      </c>
      <c r="G38" s="35">
        <f>C38-E38</f>
        <v/>
      </c>
    </row>
    <row r="39">
      <c r="A39" t="n">
        <v>25</v>
      </c>
      <c r="B39">
        <f>ROUNDUP(A39/12,0)</f>
        <v/>
      </c>
      <c r="C39" s="35">
        <f>G38</f>
        <v/>
      </c>
      <c r="D39" s="35">
        <f>$B$10</f>
        <v/>
      </c>
      <c r="E39" s="35">
        <f>D39-F39</f>
        <v/>
      </c>
      <c r="F39" s="35">
        <f>C39*$B$9</f>
        <v/>
      </c>
      <c r="G39" s="35">
        <f>C39-E39</f>
        <v/>
      </c>
    </row>
    <row r="40">
      <c r="A40" t="n">
        <v>26</v>
      </c>
      <c r="B40">
        <f>ROUNDUP(A40/12,0)</f>
        <v/>
      </c>
      <c r="C40" s="35">
        <f>G39</f>
        <v/>
      </c>
      <c r="D40" s="35">
        <f>$B$10</f>
        <v/>
      </c>
      <c r="E40" s="35">
        <f>D40-F40</f>
        <v/>
      </c>
      <c r="F40" s="35">
        <f>C40*$B$9</f>
        <v/>
      </c>
      <c r="G40" s="35">
        <f>C40-E40</f>
        <v/>
      </c>
    </row>
    <row r="41">
      <c r="A41" t="n">
        <v>27</v>
      </c>
      <c r="B41">
        <f>ROUNDUP(A41/12,0)</f>
        <v/>
      </c>
      <c r="C41" s="35">
        <f>G40</f>
        <v/>
      </c>
      <c r="D41" s="35">
        <f>$B$10</f>
        <v/>
      </c>
      <c r="E41" s="35">
        <f>D41-F41</f>
        <v/>
      </c>
      <c r="F41" s="35">
        <f>C41*$B$9</f>
        <v/>
      </c>
      <c r="G41" s="35">
        <f>C41-E41</f>
        <v/>
      </c>
    </row>
    <row r="42">
      <c r="A42" t="n">
        <v>28</v>
      </c>
      <c r="B42">
        <f>ROUNDUP(A42/12,0)</f>
        <v/>
      </c>
      <c r="C42" s="35">
        <f>G41</f>
        <v/>
      </c>
      <c r="D42" s="35">
        <f>$B$10</f>
        <v/>
      </c>
      <c r="E42" s="35">
        <f>D42-F42</f>
        <v/>
      </c>
      <c r="F42" s="35">
        <f>C42*$B$9</f>
        <v/>
      </c>
      <c r="G42" s="35">
        <f>C42-E42</f>
        <v/>
      </c>
    </row>
    <row r="43">
      <c r="A43" t="n">
        <v>29</v>
      </c>
      <c r="B43">
        <f>ROUNDUP(A43/12,0)</f>
        <v/>
      </c>
      <c r="C43" s="35">
        <f>G42</f>
        <v/>
      </c>
      <c r="D43" s="35">
        <f>$B$10</f>
        <v/>
      </c>
      <c r="E43" s="35">
        <f>D43-F43</f>
        <v/>
      </c>
      <c r="F43" s="35">
        <f>C43*$B$9</f>
        <v/>
      </c>
      <c r="G43" s="35">
        <f>C43-E43</f>
        <v/>
      </c>
    </row>
    <row r="44">
      <c r="A44" t="n">
        <v>30</v>
      </c>
      <c r="B44">
        <f>ROUNDUP(A44/12,0)</f>
        <v/>
      </c>
      <c r="C44" s="35">
        <f>G43</f>
        <v/>
      </c>
      <c r="D44" s="35">
        <f>$B$10</f>
        <v/>
      </c>
      <c r="E44" s="35">
        <f>D44-F44</f>
        <v/>
      </c>
      <c r="F44" s="35">
        <f>C44*$B$9</f>
        <v/>
      </c>
      <c r="G44" s="35">
        <f>C44-E44</f>
        <v/>
      </c>
    </row>
    <row r="45">
      <c r="A45" t="n">
        <v>31</v>
      </c>
      <c r="B45">
        <f>ROUNDUP(A45/12,0)</f>
        <v/>
      </c>
      <c r="C45" s="35">
        <f>G44</f>
        <v/>
      </c>
      <c r="D45" s="35">
        <f>$B$10</f>
        <v/>
      </c>
      <c r="E45" s="35">
        <f>D45-F45</f>
        <v/>
      </c>
      <c r="F45" s="35">
        <f>C45*$B$9</f>
        <v/>
      </c>
      <c r="G45" s="35">
        <f>C45-E45</f>
        <v/>
      </c>
    </row>
    <row r="46">
      <c r="A46" t="n">
        <v>32</v>
      </c>
      <c r="B46">
        <f>ROUNDUP(A46/12,0)</f>
        <v/>
      </c>
      <c r="C46" s="35">
        <f>G45</f>
        <v/>
      </c>
      <c r="D46" s="35">
        <f>$B$10</f>
        <v/>
      </c>
      <c r="E46" s="35">
        <f>D46-F46</f>
        <v/>
      </c>
      <c r="F46" s="35">
        <f>C46*$B$9</f>
        <v/>
      </c>
      <c r="G46" s="35">
        <f>C46-E46</f>
        <v/>
      </c>
    </row>
    <row r="47">
      <c r="A47" t="n">
        <v>33</v>
      </c>
      <c r="B47">
        <f>ROUNDUP(A47/12,0)</f>
        <v/>
      </c>
      <c r="C47" s="35">
        <f>G46</f>
        <v/>
      </c>
      <c r="D47" s="35">
        <f>$B$10</f>
        <v/>
      </c>
      <c r="E47" s="35">
        <f>D47-F47</f>
        <v/>
      </c>
      <c r="F47" s="35">
        <f>C47*$B$9</f>
        <v/>
      </c>
      <c r="G47" s="35">
        <f>C47-E47</f>
        <v/>
      </c>
    </row>
    <row r="48">
      <c r="A48" t="n">
        <v>34</v>
      </c>
      <c r="B48">
        <f>ROUNDUP(A48/12,0)</f>
        <v/>
      </c>
      <c r="C48" s="35">
        <f>G47</f>
        <v/>
      </c>
      <c r="D48" s="35">
        <f>$B$10</f>
        <v/>
      </c>
      <c r="E48" s="35">
        <f>D48-F48</f>
        <v/>
      </c>
      <c r="F48" s="35">
        <f>C48*$B$9</f>
        <v/>
      </c>
      <c r="G48" s="35">
        <f>C48-E48</f>
        <v/>
      </c>
    </row>
    <row r="49">
      <c r="A49" t="n">
        <v>35</v>
      </c>
      <c r="B49">
        <f>ROUNDUP(A49/12,0)</f>
        <v/>
      </c>
      <c r="C49" s="35">
        <f>G48</f>
        <v/>
      </c>
      <c r="D49" s="35">
        <f>$B$10</f>
        <v/>
      </c>
      <c r="E49" s="35">
        <f>D49-F49</f>
        <v/>
      </c>
      <c r="F49" s="35">
        <f>C49*$B$9</f>
        <v/>
      </c>
      <c r="G49" s="35">
        <f>C49-E49</f>
        <v/>
      </c>
    </row>
    <row r="50">
      <c r="A50" t="n">
        <v>36</v>
      </c>
      <c r="B50">
        <f>ROUNDUP(A50/12,0)</f>
        <v/>
      </c>
      <c r="C50" s="35">
        <f>G49</f>
        <v/>
      </c>
      <c r="D50" s="35">
        <f>$B$10</f>
        <v/>
      </c>
      <c r="E50" s="35">
        <f>D50-F50</f>
        <v/>
      </c>
      <c r="F50" s="35">
        <f>C50*$B$9</f>
        <v/>
      </c>
      <c r="G50" s="35">
        <f>C50-E50</f>
        <v/>
      </c>
    </row>
    <row r="51">
      <c r="A51" t="n">
        <v>37</v>
      </c>
      <c r="B51">
        <f>ROUNDUP(A51/12,0)</f>
        <v/>
      </c>
      <c r="C51" s="35">
        <f>G50</f>
        <v/>
      </c>
      <c r="D51" s="35">
        <f>$B$10</f>
        <v/>
      </c>
      <c r="E51" s="35">
        <f>D51-F51</f>
        <v/>
      </c>
      <c r="F51" s="35">
        <f>C51*$B$9</f>
        <v/>
      </c>
      <c r="G51" s="35">
        <f>C51-E51</f>
        <v/>
      </c>
    </row>
    <row r="52">
      <c r="A52" t="n">
        <v>38</v>
      </c>
      <c r="B52">
        <f>ROUNDUP(A52/12,0)</f>
        <v/>
      </c>
      <c r="C52" s="35">
        <f>G51</f>
        <v/>
      </c>
      <c r="D52" s="35">
        <f>$B$10</f>
        <v/>
      </c>
      <c r="E52" s="35">
        <f>D52-F52</f>
        <v/>
      </c>
      <c r="F52" s="35">
        <f>C52*$B$9</f>
        <v/>
      </c>
      <c r="G52" s="35">
        <f>C52-E52</f>
        <v/>
      </c>
    </row>
    <row r="53">
      <c r="A53" t="n">
        <v>39</v>
      </c>
      <c r="B53">
        <f>ROUNDUP(A53/12,0)</f>
        <v/>
      </c>
      <c r="C53" s="35">
        <f>G52</f>
        <v/>
      </c>
      <c r="D53" s="35">
        <f>$B$10</f>
        <v/>
      </c>
      <c r="E53" s="35">
        <f>D53-F53</f>
        <v/>
      </c>
      <c r="F53" s="35">
        <f>C53*$B$9</f>
        <v/>
      </c>
      <c r="G53" s="35">
        <f>C53-E53</f>
        <v/>
      </c>
    </row>
    <row r="54">
      <c r="A54" t="n">
        <v>40</v>
      </c>
      <c r="B54">
        <f>ROUNDUP(A54/12,0)</f>
        <v/>
      </c>
      <c r="C54" s="35">
        <f>G53</f>
        <v/>
      </c>
      <c r="D54" s="35">
        <f>$B$10</f>
        <v/>
      </c>
      <c r="E54" s="35">
        <f>D54-F54</f>
        <v/>
      </c>
      <c r="F54" s="35">
        <f>C54*$B$9</f>
        <v/>
      </c>
      <c r="G54" s="35">
        <f>C54-E54</f>
        <v/>
      </c>
    </row>
    <row r="55">
      <c r="A55" t="n">
        <v>41</v>
      </c>
      <c r="B55">
        <f>ROUNDUP(A55/12,0)</f>
        <v/>
      </c>
      <c r="C55" s="35">
        <f>G54</f>
        <v/>
      </c>
      <c r="D55" s="35">
        <f>$B$10</f>
        <v/>
      </c>
      <c r="E55" s="35">
        <f>D55-F55</f>
        <v/>
      </c>
      <c r="F55" s="35">
        <f>C55*$B$9</f>
        <v/>
      </c>
      <c r="G55" s="35">
        <f>C55-E55</f>
        <v/>
      </c>
    </row>
    <row r="56">
      <c r="A56" t="n">
        <v>42</v>
      </c>
      <c r="B56">
        <f>ROUNDUP(A56/12,0)</f>
        <v/>
      </c>
      <c r="C56" s="35">
        <f>G55</f>
        <v/>
      </c>
      <c r="D56" s="35">
        <f>$B$10</f>
        <v/>
      </c>
      <c r="E56" s="35">
        <f>D56-F56</f>
        <v/>
      </c>
      <c r="F56" s="35">
        <f>C56*$B$9</f>
        <v/>
      </c>
      <c r="G56" s="35">
        <f>C56-E56</f>
        <v/>
      </c>
    </row>
    <row r="57">
      <c r="A57" t="n">
        <v>43</v>
      </c>
      <c r="B57">
        <f>ROUNDUP(A57/12,0)</f>
        <v/>
      </c>
      <c r="C57" s="35">
        <f>G56</f>
        <v/>
      </c>
      <c r="D57" s="35">
        <f>$B$10</f>
        <v/>
      </c>
      <c r="E57" s="35">
        <f>D57-F57</f>
        <v/>
      </c>
      <c r="F57" s="35">
        <f>C57*$B$9</f>
        <v/>
      </c>
      <c r="G57" s="35">
        <f>C57-E57</f>
        <v/>
      </c>
    </row>
    <row r="58">
      <c r="A58" t="n">
        <v>44</v>
      </c>
      <c r="B58">
        <f>ROUNDUP(A58/12,0)</f>
        <v/>
      </c>
      <c r="C58" s="35">
        <f>G57</f>
        <v/>
      </c>
      <c r="D58" s="35">
        <f>$B$10</f>
        <v/>
      </c>
      <c r="E58" s="35">
        <f>D58-F58</f>
        <v/>
      </c>
      <c r="F58" s="35">
        <f>C58*$B$9</f>
        <v/>
      </c>
      <c r="G58" s="35">
        <f>C58-E58</f>
        <v/>
      </c>
    </row>
    <row r="59">
      <c r="A59" t="n">
        <v>45</v>
      </c>
      <c r="B59">
        <f>ROUNDUP(A59/12,0)</f>
        <v/>
      </c>
      <c r="C59" s="35">
        <f>G58</f>
        <v/>
      </c>
      <c r="D59" s="35">
        <f>$B$10</f>
        <v/>
      </c>
      <c r="E59" s="35">
        <f>D59-F59</f>
        <v/>
      </c>
      <c r="F59" s="35">
        <f>C59*$B$9</f>
        <v/>
      </c>
      <c r="G59" s="35">
        <f>C59-E59</f>
        <v/>
      </c>
    </row>
    <row r="60">
      <c r="A60" t="n">
        <v>46</v>
      </c>
      <c r="B60">
        <f>ROUNDUP(A60/12,0)</f>
        <v/>
      </c>
      <c r="C60" s="35">
        <f>G59</f>
        <v/>
      </c>
      <c r="D60" s="35">
        <f>$B$10</f>
        <v/>
      </c>
      <c r="E60" s="35">
        <f>D60-F60</f>
        <v/>
      </c>
      <c r="F60" s="35">
        <f>C60*$B$9</f>
        <v/>
      </c>
      <c r="G60" s="35">
        <f>C60-E60</f>
        <v/>
      </c>
    </row>
    <row r="61">
      <c r="A61" t="n">
        <v>47</v>
      </c>
      <c r="B61">
        <f>ROUNDUP(A61/12,0)</f>
        <v/>
      </c>
      <c r="C61" s="35">
        <f>G60</f>
        <v/>
      </c>
      <c r="D61" s="35">
        <f>$B$10</f>
        <v/>
      </c>
      <c r="E61" s="35">
        <f>D61-F61</f>
        <v/>
      </c>
      <c r="F61" s="35">
        <f>C61*$B$9</f>
        <v/>
      </c>
      <c r="G61" s="35">
        <f>C61-E61</f>
        <v/>
      </c>
    </row>
    <row r="62">
      <c r="A62" t="n">
        <v>48</v>
      </c>
      <c r="B62">
        <f>ROUNDUP(A62/12,0)</f>
        <v/>
      </c>
      <c r="C62" s="35">
        <f>G61</f>
        <v/>
      </c>
      <c r="D62" s="35">
        <f>$B$10</f>
        <v/>
      </c>
      <c r="E62" s="35">
        <f>D62-F62</f>
        <v/>
      </c>
      <c r="F62" s="35">
        <f>C62*$B$9</f>
        <v/>
      </c>
      <c r="G62" s="35">
        <f>C62-E62</f>
        <v/>
      </c>
    </row>
    <row r="63">
      <c r="A63" t="n">
        <v>49</v>
      </c>
      <c r="B63">
        <f>ROUNDUP(A63/12,0)</f>
        <v/>
      </c>
      <c r="C63" s="35">
        <f>G62</f>
        <v/>
      </c>
      <c r="D63" s="35">
        <f>$B$10</f>
        <v/>
      </c>
      <c r="E63" s="35">
        <f>D63-F63</f>
        <v/>
      </c>
      <c r="F63" s="35">
        <f>C63*$B$9</f>
        <v/>
      </c>
      <c r="G63" s="35">
        <f>C63-E63</f>
        <v/>
      </c>
    </row>
    <row r="64">
      <c r="A64" t="n">
        <v>50</v>
      </c>
      <c r="B64">
        <f>ROUNDUP(A64/12,0)</f>
        <v/>
      </c>
      <c r="C64" s="35">
        <f>G63</f>
        <v/>
      </c>
      <c r="D64" s="35">
        <f>$B$10</f>
        <v/>
      </c>
      <c r="E64" s="35">
        <f>D64-F64</f>
        <v/>
      </c>
      <c r="F64" s="35">
        <f>C64*$B$9</f>
        <v/>
      </c>
      <c r="G64" s="35">
        <f>C64-E64</f>
        <v/>
      </c>
    </row>
    <row r="65">
      <c r="A65" t="n">
        <v>51</v>
      </c>
      <c r="B65">
        <f>ROUNDUP(A65/12,0)</f>
        <v/>
      </c>
      <c r="C65" s="35">
        <f>G64</f>
        <v/>
      </c>
      <c r="D65" s="35">
        <f>$B$10</f>
        <v/>
      </c>
      <c r="E65" s="35">
        <f>D65-F65</f>
        <v/>
      </c>
      <c r="F65" s="35">
        <f>C65*$B$9</f>
        <v/>
      </c>
      <c r="G65" s="35">
        <f>C65-E65</f>
        <v/>
      </c>
    </row>
    <row r="66">
      <c r="A66" t="n">
        <v>52</v>
      </c>
      <c r="B66">
        <f>ROUNDUP(A66/12,0)</f>
        <v/>
      </c>
      <c r="C66" s="35">
        <f>G65</f>
        <v/>
      </c>
      <c r="D66" s="35">
        <f>$B$10</f>
        <v/>
      </c>
      <c r="E66" s="35">
        <f>D66-F66</f>
        <v/>
      </c>
      <c r="F66" s="35">
        <f>C66*$B$9</f>
        <v/>
      </c>
      <c r="G66" s="35">
        <f>C66-E66</f>
        <v/>
      </c>
    </row>
    <row r="67">
      <c r="A67" t="n">
        <v>53</v>
      </c>
      <c r="B67">
        <f>ROUNDUP(A67/12,0)</f>
        <v/>
      </c>
      <c r="C67" s="35">
        <f>G66</f>
        <v/>
      </c>
      <c r="D67" s="35">
        <f>$B$10</f>
        <v/>
      </c>
      <c r="E67" s="35">
        <f>D67-F67</f>
        <v/>
      </c>
      <c r="F67" s="35">
        <f>C67*$B$9</f>
        <v/>
      </c>
      <c r="G67" s="35">
        <f>C67-E67</f>
        <v/>
      </c>
    </row>
    <row r="68">
      <c r="A68" t="n">
        <v>54</v>
      </c>
      <c r="B68">
        <f>ROUNDUP(A68/12,0)</f>
        <v/>
      </c>
      <c r="C68" s="35">
        <f>G67</f>
        <v/>
      </c>
      <c r="D68" s="35">
        <f>$B$10</f>
        <v/>
      </c>
      <c r="E68" s="35">
        <f>D68-F68</f>
        <v/>
      </c>
      <c r="F68" s="35">
        <f>C68*$B$9</f>
        <v/>
      </c>
      <c r="G68" s="35">
        <f>C68-E68</f>
        <v/>
      </c>
    </row>
    <row r="69">
      <c r="A69" t="n">
        <v>55</v>
      </c>
      <c r="B69">
        <f>ROUNDUP(A69/12,0)</f>
        <v/>
      </c>
      <c r="C69" s="35">
        <f>G68</f>
        <v/>
      </c>
      <c r="D69" s="35">
        <f>$B$10</f>
        <v/>
      </c>
      <c r="E69" s="35">
        <f>D69-F69</f>
        <v/>
      </c>
      <c r="F69" s="35">
        <f>C69*$B$9</f>
        <v/>
      </c>
      <c r="G69" s="35">
        <f>C69-E69</f>
        <v/>
      </c>
    </row>
    <row r="70">
      <c r="A70" t="n">
        <v>56</v>
      </c>
      <c r="B70">
        <f>ROUNDUP(A70/12,0)</f>
        <v/>
      </c>
      <c r="C70" s="35">
        <f>G69</f>
        <v/>
      </c>
      <c r="D70" s="35">
        <f>$B$10</f>
        <v/>
      </c>
      <c r="E70" s="35">
        <f>D70-F70</f>
        <v/>
      </c>
      <c r="F70" s="35">
        <f>C70*$B$9</f>
        <v/>
      </c>
      <c r="G70" s="35">
        <f>C70-E70</f>
        <v/>
      </c>
    </row>
    <row r="71">
      <c r="A71" t="n">
        <v>57</v>
      </c>
      <c r="B71">
        <f>ROUNDUP(A71/12,0)</f>
        <v/>
      </c>
      <c r="C71" s="35">
        <f>G70</f>
        <v/>
      </c>
      <c r="D71" s="35">
        <f>$B$10</f>
        <v/>
      </c>
      <c r="E71" s="35">
        <f>D71-F71</f>
        <v/>
      </c>
      <c r="F71" s="35">
        <f>C71*$B$9</f>
        <v/>
      </c>
      <c r="G71" s="35">
        <f>C71-E71</f>
        <v/>
      </c>
    </row>
    <row r="72">
      <c r="A72" t="n">
        <v>58</v>
      </c>
      <c r="B72">
        <f>ROUNDUP(A72/12,0)</f>
        <v/>
      </c>
      <c r="C72" s="35">
        <f>G71</f>
        <v/>
      </c>
      <c r="D72" s="35">
        <f>$B$10</f>
        <v/>
      </c>
      <c r="E72" s="35">
        <f>D72-F72</f>
        <v/>
      </c>
      <c r="F72" s="35">
        <f>C72*$B$9</f>
        <v/>
      </c>
      <c r="G72" s="35">
        <f>C72-E72</f>
        <v/>
      </c>
    </row>
    <row r="73">
      <c r="A73" t="n">
        <v>59</v>
      </c>
      <c r="B73">
        <f>ROUNDUP(A73/12,0)</f>
        <v/>
      </c>
      <c r="C73" s="35">
        <f>G72</f>
        <v/>
      </c>
      <c r="D73" s="35">
        <f>$B$10</f>
        <v/>
      </c>
      <c r="E73" s="35">
        <f>D73-F73</f>
        <v/>
      </c>
      <c r="F73" s="35">
        <f>C73*$B$9</f>
        <v/>
      </c>
      <c r="G73" s="35">
        <f>C73-E73</f>
        <v/>
      </c>
    </row>
    <row r="74">
      <c r="A74" t="n">
        <v>60</v>
      </c>
      <c r="B74">
        <f>ROUNDUP(A74/12,0)</f>
        <v/>
      </c>
      <c r="C74" s="35">
        <f>G73</f>
        <v/>
      </c>
      <c r="D74" s="35">
        <f>$B$10</f>
        <v/>
      </c>
      <c r="E74" s="35">
        <f>D74-F74</f>
        <v/>
      </c>
      <c r="F74" s="35">
        <f>C74*$B$9</f>
        <v/>
      </c>
      <c r="G74" s="35">
        <f>C74-E74</f>
        <v/>
      </c>
    </row>
    <row r="76">
      <c r="A76" s="47" t="inlineStr">
        <is>
          <t>Totales</t>
        </is>
      </c>
      <c r="D76" s="35">
        <f>SUM(D15:D74)</f>
        <v/>
      </c>
      <c r="E76" s="35">
        <f>SUM(E15:E74)</f>
        <v/>
      </c>
      <c r="F76" s="35">
        <f>SUM(F15:F74)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Manuel Tintori</dc:creator>
  <dcterms:created xmlns:dcterms="http://purl.org/dc/terms/" xmlns:xsi="http://www.w3.org/2001/XMLSchema-instance" xsi:type="dcterms:W3CDTF">2019-08-09T13:24:09Z</dcterms:created>
  <dcterms:modified xmlns:dcterms="http://purl.org/dc/terms/" xmlns:xsi="http://www.w3.org/2001/XMLSchema-instance" xsi:type="dcterms:W3CDTF">2026-08-14T03:37:57Z</dcterms:modified>
  <cp:lastModifiedBy>Hector Hernandez</cp:lastModifiedBy>
</cp:coreProperties>
</file>